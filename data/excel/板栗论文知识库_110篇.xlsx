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论文总表" sheetId="1" state="visible" r:id="rId1"/>
    <sheet xmlns:r="http://schemas.openxmlformats.org/officeDocument/2006/relationships" name="知识条目" sheetId="2" state="visible" r:id="rId2"/>
    <sheet xmlns:r="http://schemas.openxmlformats.org/officeDocument/2006/relationships" name="分类统计" sheetId="3" state="visible" r:id="rId3"/>
  </sheets>
  <definedNames>
    <definedName name="_xlnm._FilterDatabase" localSheetId="0" hidden="1">'论文总表'!$A$1:$S$111</definedName>
    <definedName name="_xlnm._FilterDatabase" localSheetId="1" hidden="1">'知识条目'!$A$1:$H$545</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微软雅黑"/>
      <b val="1"/>
      <color rgb="00FFFFFF"/>
      <sz val="10"/>
    </font>
    <font>
      <name val="微软雅黑"/>
      <sz val="9"/>
    </font>
    <font>
      <name val="微软雅黑"/>
      <color rgb="009C6500"/>
      <sz val="9"/>
    </font>
    <font>
      <name val="微软雅黑"/>
      <b val="1"/>
      <color rgb="00006100"/>
      <sz val="9"/>
    </font>
    <font>
      <name val="微软雅黑"/>
      <color rgb="00808080"/>
      <sz val="9"/>
    </font>
    <font>
      <name val="微软雅黑"/>
      <b val="1"/>
      <color rgb="007B3F00"/>
      <sz val="14"/>
    </font>
    <font>
      <name val="微软雅黑"/>
      <b val="1"/>
      <color rgb="007B3F00"/>
      <sz val="11"/>
    </font>
    <font>
      <name val="微软雅黑"/>
      <b val="1"/>
      <sz val="9"/>
    </font>
    <font>
      <name val="微软雅黑"/>
      <i val="1"/>
      <color rgb="00808080"/>
      <sz val="8"/>
    </font>
  </fonts>
  <fills count="6">
    <fill>
      <patternFill/>
    </fill>
    <fill>
      <patternFill patternType="gray125"/>
    </fill>
    <fill>
      <patternFill patternType="solid">
        <fgColor rgb="007B3F00"/>
      </patternFill>
    </fill>
    <fill>
      <patternFill patternType="solid">
        <fgColor rgb="00FFEB9C"/>
      </patternFill>
    </fill>
    <fill>
      <patternFill patternType="solid">
        <fgColor rgb="00C6EFCE"/>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xf numFmtId="0" fontId="5" fillId="5" borderId="1" applyAlignment="1" pivotButton="0" quotePrefix="0" xfId="0">
      <alignment horizontal="center" vertical="top"/>
    </xf>
    <xf numFmtId="0" fontId="6" fillId="0" borderId="0" pivotButton="0" quotePrefix="0" xfId="0"/>
    <xf numFmtId="0" fontId="7" fillId="0" borderId="0" pivotButton="0" quotePrefix="0" xfId="0"/>
    <xf numFmtId="0" fontId="1" fillId="2" borderId="1" applyAlignment="1" pivotButton="0" quotePrefix="0" xfId="0">
      <alignment horizontal="center" vertical="center"/>
    </xf>
    <xf numFmtId="164" fontId="2" fillId="0" borderId="1" applyAlignment="1" pivotButton="0" quotePrefix="0" xfId="0">
      <alignment vertical="top" wrapText="1"/>
    </xf>
    <xf numFmtId="0" fontId="8" fillId="0" borderId="1"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7" customWidth="1" min="3" max="3"/>
    <col width="7" customWidth="1" min="4" max="4"/>
    <col width="36" customWidth="1" min="5" max="5"/>
    <col width="30" customWidth="1" min="6" max="6"/>
    <col width="16" customWidth="1" min="7" max="7"/>
    <col width="18" customWidth="1" min="8" max="8"/>
    <col width="14" customWidth="1" min="9" max="9"/>
    <col width="14" customWidth="1" min="10" max="10"/>
    <col width="22" customWidth="1" min="11" max="11"/>
    <col width="20" customWidth="1" min="12" max="12"/>
    <col width="20" customWidth="1" min="13" max="13"/>
    <col width="50" customWidth="1" min="14" max="14"/>
    <col width="45" customWidth="1" min="15" max="15"/>
    <col width="30" customWidth="1" min="16" max="16"/>
    <col width="11" customWidth="1" min="17" max="17"/>
    <col width="30" customWidth="1" min="18" max="18"/>
    <col width="50" customWidth="1" min="19" max="19"/>
  </cols>
  <sheetData>
    <row r="1" ht="24" customHeight="1">
      <c r="A1" s="1" t="inlineStr">
        <is>
          <t>序号</t>
        </is>
      </c>
      <c r="B1" s="1" t="inlineStr">
        <is>
          <t>文件名</t>
        </is>
      </c>
      <c r="C1" s="1" t="inlineStr">
        <is>
          <t>年份</t>
        </is>
      </c>
      <c r="D1" s="1" t="inlineStr">
        <is>
          <t>语言</t>
        </is>
      </c>
      <c r="E1" s="1" t="inlineStr">
        <is>
          <t>标题原文</t>
        </is>
      </c>
      <c r="F1" s="1" t="inlineStr">
        <is>
          <t>标题中文</t>
        </is>
      </c>
      <c r="G1" s="1" t="inlineStr">
        <is>
          <t>作者</t>
        </is>
      </c>
      <c r="H1" s="1" t="inlineStr">
        <is>
          <t>期刊/来源</t>
        </is>
      </c>
      <c r="I1" s="1" t="inlineStr">
        <is>
          <t>一级分类</t>
        </is>
      </c>
      <c r="J1" s="1" t="inlineStr">
        <is>
          <t>二级方向</t>
        </is>
      </c>
      <c r="K1" s="1" t="inlineStr">
        <is>
          <t>关键词</t>
        </is>
      </c>
      <c r="L1" s="1" t="inlineStr">
        <is>
          <t>研究材料</t>
        </is>
      </c>
      <c r="M1" s="1" t="inlineStr">
        <is>
          <t>研究方法</t>
        </is>
      </c>
      <c r="N1" s="1" t="inlineStr">
        <is>
          <t>核心结论</t>
        </is>
      </c>
      <c r="O1" s="1" t="inlineStr">
        <is>
          <t>关键数据</t>
        </is>
      </c>
      <c r="P1" s="1" t="inlineStr">
        <is>
          <t>实践应用价值</t>
        </is>
      </c>
      <c r="Q1" s="1" t="inlineStr">
        <is>
          <t>问答相关度</t>
        </is>
      </c>
      <c r="R1" s="1" t="inlineStr">
        <is>
          <t>备注</t>
        </is>
      </c>
      <c r="S1" s="1" t="inlineStr">
        <is>
          <t>摘要中文</t>
        </is>
      </c>
    </row>
    <row r="2">
      <c r="A2" s="2" t="n">
        <v>1</v>
      </c>
      <c r="B2" s="2" t="inlineStr">
        <is>
          <t>001_2026_Combined hormonomic, transcriptomic, and metabolomic analyses reveal the role of programmed cell.md</t>
        </is>
      </c>
      <c r="C2" s="2" t="inlineStr">
        <is>
          <t>2026</t>
        </is>
      </c>
      <c r="D2" s="2" t="inlineStr">
        <is>
          <t>英文</t>
        </is>
      </c>
      <c r="E2" s="2" t="inlineStr">
        <is>
          <t>Combined hormonomic, transcriptomic, and metabolomic analyses reveal the role of programmed cell death in bud abscission of Chinese chestnut (Castanea mollissima BL.)</t>
        </is>
      </c>
      <c r="F2" s="2" t="inlineStr">
        <is>
          <t>激素组学、转录组学与代谢组学联合分析揭示板栗芽脱落中程序性细胞死亡的作用</t>
        </is>
      </c>
      <c r="G2" s="2" t="inlineStr">
        <is>
          <t>Yan Guo, Shuhang Zhang, Ying Li, et al.</t>
        </is>
      </c>
      <c r="H2" s="2" t="inlineStr">
        <is>
          <t>Frontiers in Plant Science</t>
        </is>
      </c>
      <c r="I2" s="2" t="inlineStr">
        <is>
          <t>生理与分子机制</t>
        </is>
      </c>
      <c r="J2" s="2" t="inlineStr">
        <is>
          <t>芽脱落与程序性细胞死亡的多组学机制（矮化紧凑树冠性状）</t>
        </is>
      </c>
      <c r="K2" s="2" t="inlineStr">
        <is>
          <t>程序性细胞死亡;芽脱落;多组学;植物激素;自噬;矮化紧凑树冠</t>
        </is>
      </c>
      <c r="L2" s="2" t="inlineStr">
        <is>
          <t>落芽品种'替码珍珠'（Tima Zhenzhu）与不落芽品种'大板红'（Dabanhong）结果枝上、下部芽；雄花脱落后20/25/30天（S20/S25/S30）取样；河北昌黎河北省农林科学院昌黎果树研究所种质圃，株行距4m×4m</t>
        </is>
      </c>
      <c r="M2" s="2" t="inlineStr">
        <is>
          <t>透射电镜超微结构观察；广靶代谢组学（UPLC-ESI-MS/MS，8类激素化合物定量）；RNA-seq转录组测序；WGCNA加权基因共表达网络分析；STRING蛋白互作网络；qRT-PCR验证（EF1-a内参）</t>
        </is>
      </c>
      <c r="N2" s="2" t="inlineStr">
        <is>
          <t>本研究以落芽品种'替码珍珠'和不落芽品种'大板红'为材料，整合组织学、激素定量、广靶代谢组与转录组，系统解析板栗芽程序性细胞死亡（PCD）。超微结构显示PCD伴随细胞骨架降解、细胞壁皱缩、液泡膜破裂及细胞核等细胞器解体。激素动态显示活性细胞分裂素（tZRMP、iPRMP）下降，而生长素前体（吲哚、TRP、IAM）、ABA储存形式ABA-GE、乙烯前体ACC和JA-Phe显著积累，共同驱动PCD。S25和S30阶段分别鉴定出705和4731个共同差异表达基因及241和345个共同差异代谢物，显著富集于植物激素信号转导、次生代谢物合成、糖与脂质代谢通路。WGCNA鉴定lightcyan和saddlebrown两个与PCD显著相关的关键模块，并提出'激素信号—转录响应—代谢重编程'三层调控模型：生长信号受抑、自噬与抗氧化系统激活、苯丙烷类/萜类/生物碱等防御代谢增强，共同实现有序的程序性细胞死亡。</t>
        </is>
      </c>
      <c r="O2" s="2" t="inlineStr">
        <is>
          <t>S25和S30阶段分别有705和4731个共同DEGs、241和345个共同DAMs；检测8大类激素（生长素27种、细胞分裂素40种、赤霉素18种、茉莉素11种、水杨酸6种、ABA 3种等）；PCD进程与吲哚Indole（r=0.95）、苯丙氨酸（r=0.93）、TRP（r=0.91）、ACC（r=0.86）显著正相关，与iPRMP（r=-0.56）、OPDA（r=-0.42）负相关；代谢物分13类，类黄酮507种（16.9%）居首，酚酸410种（13.7%）；WGCNA获16个模块，lightcyan模块与PCD及多种激素正相关（r≥0.90）；redox稳态网络含67个基因（45上调、22下调）；PER1/4/61上调而PER9/17/19/49/72下调；全基因组鉴定47个自噬相关基因，17个归属lightcyan模块；PALY为苯丙烷代谢枢纽基因，PGLRs、PMEs、PLY8/5构成细胞壁降解模块；'替码珍珠'1979年首次报道，普通品种树冠每年外扩约40 cm；qRT-PCR验证9个激素相关DEGs，与转录组一致</t>
        </is>
      </c>
      <c r="P2" s="2" t="inlineStr">
        <is>
          <t>'替码珍珠'落芽性状是天然矮化紧凑资源，可用于矮化密植栽培与整形修剪减工的品种选择依据；所揭示的激素调控节点（细胞分裂素/乙烯/ABA）和关键基因为通过化学或遗传手段调控树形、培育紧凑品种提供靶点。</t>
        </is>
      </c>
      <c r="Q2" s="3" t="inlineStr">
        <is>
          <t>中</t>
        </is>
      </c>
      <c r="R2" s="2" t="inlineStr"/>
      <c r="S2" s="2" t="inlineStr">
        <is>
          <t>背景：芽的程序性细胞死亡（PCD）直接影响板栗矮化紧凑树冠的形成，是重要农艺性状，但其分子和代谢调控机制尚不清楚。方法：以落芽品种'替码珍珠'和不落芽品种'大板红'为材料，整合组织学、广靶代谢组学、转录组学和激素定量分析，系统分析芽PCD关键阶段的动态变化。结果：芽脱落期间观察到典型PCD特征，包括细胞骨架降解、细胞壁皱缩以及液泡、细胞核等细胞器解体。激素动态显示活性细胞分裂素水平下降，而生长素前体、ABA、茉莉酸和乙烯大量积累，共同驱动PCD过程。S25和S30阶段分别鉴定出705和4731个差异表达基因以及241和345个差异累积代谢物，显著富集于植物激素信号转导、次生代谢物生物合成、糖代谢和脂质代谢等通路。基于多组学数据构建了芽PCD共调控网络，阐明通过抑制生长信号、激活自噬和抗氧化系统、重编程次生代谢流实现有序PCD。结论：揭示了'替码珍珠'芽脱落的内在分子图景，为未来代谢工程或遗传改良提供潜在靶点和策略。</t>
        </is>
      </c>
    </row>
    <row r="3">
      <c r="A3" s="2" t="n">
        <v>2</v>
      </c>
      <c r="B3" s="2" t="inlineStr">
        <is>
          <t>002_2026_Comprehensive metabolomic characterization of defense reprogramming in Castanea mollissima under.md</t>
        </is>
      </c>
      <c r="C3" s="2" t="inlineStr">
        <is>
          <t>2026</t>
        </is>
      </c>
      <c r="D3" s="2" t="inlineStr">
        <is>
          <t>英文</t>
        </is>
      </c>
      <c r="E3" s="2" t="inlineStr">
        <is>
          <t>Comprehensive metabolomic characterization of defense reprogramming in Castanea mollissima under Oligonychus ununguis feeding stress</t>
        </is>
      </c>
      <c r="F3" s="2" t="inlineStr">
        <is>
          <t>板栗受栗红蜘蛛取食胁迫下防御重编程的综合代谢组学表征</t>
        </is>
      </c>
      <c r="G3" s="2" t="inlineStr">
        <is>
          <t>Xinfang Zhang, Shuhang Zhang, Ying Li, et al.</t>
        </is>
      </c>
      <c r="H3" s="2" t="inlineStr">
        <is>
          <t>PLOS One</t>
        </is>
      </c>
      <c r="I3" s="2" t="inlineStr">
        <is>
          <t>病虫害防治</t>
        </is>
      </c>
      <c r="J3" s="2" t="inlineStr">
        <is>
          <t>抗螨（栗红蜘蛛）种质鉴定与抗性代谢机制</t>
        </is>
      </c>
      <c r="K3" s="2" t="inlineStr">
        <is>
          <t>栗红蜘蛛;抗螨性;代谢组学;类黄酮;苯丙烷代谢;抗性品种</t>
        </is>
      </c>
      <c r="L3" s="2" t="inlineStr">
        <is>
          <t>4个不同抗螨水平板栗品种：燕星（S19，高感）、徐家1号（R-1，高抗）、燕奎（M1，感）、燕山早峰（M2，感）；河北昌黎板栗种质资源圃（39°45′N, 119°12′E）营养枝中部叶片</t>
        </is>
      </c>
      <c r="M3" s="2" t="inlineStr">
        <is>
          <t>田间螨害分级与叶片黄化指数法；广靶代谢组学（UHPLC-QQQ-MS，MRM模式）；OPLS-DA多元统计；KEGG通路富集；RNA-seq转录组分析（DESeq2差异表达）</t>
        </is>
      </c>
      <c r="N3" s="2" t="inlineStr">
        <is>
          <t>以4个不同抗螨水平板栗品种为材料，依据叶片黄化指数评定抗性并建立3个抗感配对组合，开展广靶代谢组与转录组分析。共检测713种次生代谢物，以类黄酮（246种）和酚酸（221种）为主；抗性品种受螨害后的代谢重编程幅度明显大于感病品种。DAMs显著富集于类黄酮、黄酮醇及苯丙烷生物合成通路；鉴定出27个在抗感品种间稳定差异的代谢物，其中肉桂酸、咖啡酸甲酯、黄芩素、没食子儿茶素、脱氢二异丁香酚和灵芝酸在抗性品种中特异高积累，提示其通过细胞壁木质化增强、抑制螨虫消化等机制参与抗螨防御。转录组显示抗性品种虫害后差异基因更多（三组比较5480/6127/5083个，932个共有），防御信号转导、能量代谢与先天免疫协同响应。本研究首次系统表征了板栗对栗红蜘蛛的多层防御网络，为抗螨育种和抗性种质筛选奠定代谢学基础。</t>
        </is>
      </c>
      <c r="O3" s="2" t="inlineStr">
        <is>
          <t>叶片黄化指数：S19（燕星）68.73%高感、R-1（徐家1号）12.35%高抗、M1（燕奎）45.38%感、M2（燕山早峰）37.24%感；抗性分级标准：高抗I&lt;15%、抗15-25%、中抗25-35%、感35-60%、高感≥60%；共检测713种代谢物，类黄酮246种（34.5%）、酚酸221种（31%）、萜类72种、生物碱58种、单宁43种；三组比较DAMs分别为128（63上/65下）、133（56上/77下）、118（45上/73下）；27个共有DAMs中15个达极显著（P&lt;0.01）；抗性品种特异高积累6种代谢物：肉桂酸、咖啡酸甲酯、黄芩素、没食子儿茶素、脱氢二异丁香酚、灵芝酸（lucidenic acid）；DEGs：R-1 vs M1为5480、R-1 vs M2为6127、R-1 vs S19为5083，932个共有；螨害防治支出约占总生产成本20-25%</t>
        </is>
      </c>
      <c r="P3" s="2" t="inlineStr">
        <is>
          <t>高抗品种'徐家1号'可直接作为抗螨品种选择和抗螨育种的种源；在螨害高发区优先选用抗螨品种可减少杀螨剂用量、降低约占生产成本20-25%的植保支出；肉桂酸、黄芩素等候选代谢物可用于抗性鉴定和植物源杀螨剂开发。</t>
        </is>
      </c>
      <c r="Q3" s="4" t="inlineStr">
        <is>
          <t>高</t>
        </is>
      </c>
      <c r="R3" s="2" t="inlineStr"/>
      <c r="S3" s="2" t="inlineStr">
        <is>
          <t>刺吸式害虫栗红蜘蛛（Oligonychus ununguis）通过吸取叶肉细胞营养损害叶片组织，降低板栗光合能力和坚果产量。尽管经济意义重大，板栗响应螨害的代谢机制仍知之甚少。本研究对4个不同抗性水平品种进行叶片比较代谢组分析，以叶片黄化指数评价抗性并建立3个配对比较组合。结果表明，抗性品种受侵染后的次生代谢重编程比感病品种更显著；次生代谢物中以类黄酮和酚酸为主；KEGG富集分析发现大量差异累积代谢物与类黄酮、黄酮醇及苯丙烷生物合成通路相关。值得注意的是，27种苯丙烷类和类黄酮代谢物在抗性品种中显著积累，而在感病品种中大多未检出或无显著变化。这些发现表明特定的苯丙烷类和类黄酮及其生物合成网络是板栗抗栗红蜘蛛的重要组成，为抗螨板栗品种选育提供了代谢学基础。</t>
        </is>
      </c>
    </row>
    <row r="4">
      <c r="A4" s="2" t="n">
        <v>3</v>
      </c>
      <c r="B4" s="2" t="inlineStr">
        <is>
          <t>003_2026_Genome-wide analysis of the ALDH superfamily in _i_Castanea mollissima__i_ highlights roles in a.md</t>
        </is>
      </c>
      <c r="C4" s="2" t="inlineStr">
        <is>
          <t>2026</t>
        </is>
      </c>
      <c r="D4" s="2" t="inlineStr">
        <is>
          <t>英文</t>
        </is>
      </c>
      <c r="E4" s="2" t="inlineStr">
        <is>
          <t>Genome-wide analysis of the ALDH superfamily in Castanea mollissima highlights roles in abiotic stress responses</t>
        </is>
      </c>
      <c r="F4" s="2" t="inlineStr">
        <is>
          <t>板栗乙醛脱氢酶（ALDH）超家族全基因组分析揭示其在非生物胁迫响应中的作用</t>
        </is>
      </c>
      <c r="G4" s="2" t="inlineStr">
        <is>
          <t>Xiangyu Wang, Tong Zhang, Yujuan Tian, et al.</t>
        </is>
      </c>
      <c r="H4" s="2" t="inlineStr">
        <is>
          <t>Frontiers in Plant Science</t>
        </is>
      </c>
      <c r="I4" s="2" t="inlineStr">
        <is>
          <t>基因组与基因家族</t>
        </is>
      </c>
      <c r="J4" s="2" t="inlineStr">
        <is>
          <t>基因家族鉴定（乙醛脱氢酶ALDH超家族）与非生物胁迫表达分析</t>
        </is>
      </c>
      <c r="K4" s="2" t="inlineStr">
        <is>
          <t>板栗;乙醛脱氢酶;基因家族;非生物胁迫;表达分析;系统进化</t>
        </is>
      </c>
      <c r="L4" s="2" t="inlineStr">
        <is>
          <t>板栗基因组（Castanea Genome Database）；高温（45°C）、低温（-15°C）、干旱、盐（200 mmol/L NaCl）、碱（Na2CO3）、遮荫6种胁迫转录组数据；'燕山早峰'60天幼苗叶片RT-qPCR验证</t>
        </is>
      </c>
      <c r="M4" s="2" t="inlineStr">
        <is>
          <t>HMMER（PF00171域）与BLASTP双策略基因鉴定；系统进化（MEGA 7.0，最大似然法）；MCScanX共线性与重复类型分析；Ka/Ks选择压力计算；PlantCARE顺式作用元件与转录因子预测；转录组FPKM表达谱与RT-qPCR（2-ΔΔCT法）</t>
        </is>
      </c>
      <c r="N4" s="2" t="inlineStr">
        <is>
          <t>本研究首次对板栗ALDH（乙醛脱氢酶）超家族进行全基因组鉴定，共获得25个CmALDH基因，分属9个家族，其中ALDH2和ALDH3家族各有6个成员。系统进化与基因结构分析显示同家族内高度保守；重复事件分析表明分散复制是家族扩张的主要动力，全基因组复制占28%、串联复制占24%，同源基因对Ka/Ks均小于1，经历了纯化选择。启动子富含激素响应（ABRE、CGTCA等）、干旱诱导（MBS）、防御胁迫（TC-rich repeats）和厌氧响应（ARE）等顺式元件，并预测到MYB、ERF、NAC、WRKY等37个家族286个转录因子的调控关系。转录组与RT-qPCR分析表明，多个CmALDH基因在高温、低温、干旱、盐、碱和遮荫6种胁迫下差异表达：CmALDH11A1受低温强烈诱导，CmALDH2C2在低温和盐胁迫下显著上调，CmALDH3I1和CmALDH7B1在'大板红'和'燕山早峰'两品种干旱处理中均显著上调，提示CmALDH在板栗适应非生物胁迫中具有重要功能，为木本植物抗逆研究提供基因资源。</t>
        </is>
      </c>
      <c r="O4" s="2" t="inlineStr">
        <is>
          <t>共鉴定25个CmALDH基因、9个家族，ALDH2和ALDH3各6个成员最多，家族5/7/11/12/22各仅1个；蛋白长124-1065 aa，分子量13.56-116.42 kDa，pI 4.68-8.81，18/25个不稳定指数&lt;40；重复类型：分散复制9个、WGD 7个（28%）、串联6个（24%）、近邻3个（12%）；所有同源基因对Ka/Ks&lt;1（纯化选择）；启动子共501个顺式作用元件，预测286个转录因子（37家族）调控，MYB/ERF/NAC/WRKY/bZIP/BHLH最多，CmALDH11A1、2C1、6B5分别受90、63、62个TF调控；CmALDH11A1低温5h和10h后FPKM由103.79升至323.56（+200%）和667.13（+500%）；CmALDH2C2盐胁迫14/26天FPKM由46.76→98.93、51.50→130.74；CmALDH3H1高温4/8/12h表达降至对照的27.52%/21.21%/26.16%；CmALDH3I1与CmALDH7B1在'大板红'和'燕山早峰'干旱（停水0-40天）中均显著上调；染色体1和6各含3基因成簇，Chr1基因数最多（6个）</t>
        </is>
      </c>
      <c r="P4" s="2" t="inlineStr">
        <is>
          <t>鉴定出CmALDH3I1、CmALDH7B1等抗旱候选基因和CmALDH11A1、CmALDH2C2等低温/盐胁迫响应基因，可用于板栗抗逆种质评价和分子标记辅助育种，服务主产区季节性极端温度、干旱和土壤盐碱化条件下的抗性品种选育。</t>
        </is>
      </c>
      <c r="Q4" s="5" t="inlineStr">
        <is>
          <t>低</t>
        </is>
      </c>
      <c r="R4" s="2" t="inlineStr"/>
      <c r="S4" s="2" t="inlineStr">
        <is>
          <t>非生物胁迫严重阻碍植物生长和产量，乙醛脱氢酶（ALDH）超家族在植物胁迫响应中发挥重要作用。迄今板栗ALDH超家族的系统鉴定与功能表征尚未见报道。本研究首次对板栗CmALDH超家族进行全基因组系统分析，共鉴定25个CmALDH基因，分属9个家族。系统进化分析表明CmALDH超家族在进化中主要受纯化选择，家族扩张主要由分散复制事件驱动。共线性分析显示板栗与其他物种间ALDH基因既有保守性也有物种特异性变异。顺式作用元件分析发现CmALDH启动子含大量激素响应、非生物胁迫和光响应元件。对高温、低温、干旱、盐、碱、遮荫6种非生物胁迫的转录组分析及RT-qPCR验证（高温、低温、盐、碱）显示多个CmALDH基因差异表达，提示其在胁迫响应中的潜在作用。本研究系统阐明了CmALDH超家族的进化特征和非生物胁迫响应机制，为木本植物抗性分子机制研究和板栗抗性遗传改良提供了基因资源和理论依据。</t>
        </is>
      </c>
    </row>
    <row r="5">
      <c r="A5" s="2" t="n">
        <v>4</v>
      </c>
      <c r="B5" s="2" t="inlineStr">
        <is>
          <t>004_2026_Genome-wide identification and alkaline stress response analysis of the class III peroxidase (PR.md</t>
        </is>
      </c>
      <c r="C5" s="2" t="inlineStr">
        <is>
          <t>2026</t>
        </is>
      </c>
      <c r="D5" s="2" t="inlineStr">
        <is>
          <t>英文</t>
        </is>
      </c>
      <c r="E5" s="2" t="inlineStr">
        <is>
          <t>Genome-wide identification and alkaline stress response analysis of the class III peroxidase (PRX) gene family in Castanea mollissima</t>
        </is>
      </c>
      <c r="F5" s="2" t="inlineStr">
        <is>
          <t>板栗III类过氧化物酶（PRX）基因家族全基因组鉴定与碱胁迫响应分析</t>
        </is>
      </c>
      <c r="G5" s="2" t="inlineStr">
        <is>
          <t>Xili Liu, Tong Zhang, Guoyan Lu, et al.</t>
        </is>
      </c>
      <c r="H5" s="2" t="inlineStr">
        <is>
          <t>BMC Plant Biology</t>
        </is>
      </c>
      <c r="I5" s="2" t="inlineStr">
        <is>
          <t>基因组与基因家族</t>
        </is>
      </c>
      <c r="J5" s="2" t="inlineStr">
        <is>
          <t>基因家族鉴定（III类过氧化物酶PRX）与碱胁迫响应</t>
        </is>
      </c>
      <c r="K5" s="2" t="inlineStr">
        <is>
          <t>III类过氧化物酶;板栗;碱胁迫;转录组;WGCNA;基因家族</t>
        </is>
      </c>
      <c r="L5" s="2" t="inlineStr">
        <is>
          <t>板栗基因组；'燕山早峰'150天盆栽幼苗，Na2CO3溶液0.02 g/L和0.5 g/L浇灌7天（清水对照），人工气候室培养，河北秦皇岛</t>
        </is>
      </c>
      <c r="M5" s="2" t="inlineStr">
        <is>
          <t>HMM（PF00141）+BLASTP基因鉴定；最大似然系统进化（MEGA11，LG+G4，5000次bootstrap）；MCScanX重复类型与共线性分析；生理指标测定（SOD、CAT、MDA、脯氨酸）；RNA-seq与DESeq2差异表达；WGCNA加权共表达网络；RT-qPCR验证</t>
        </is>
      </c>
      <c r="N5" s="2" t="inlineStr">
        <is>
          <t>首次在板栗全基因组水平系统鉴定III类过氧化物酶（PRX）基因家族，共获得98个CmPRX基因，不均匀分布于12条染色体，分为8个亚族（第4亚族最多43个，第6亚族仅2个）；串联重复是家族扩张的主要动力（41个基因，占41.84%），Chr4、Chr6、Chr8形成4个串联重复簇。多数CmPRX蛋白为碱性（59.18% pI&gt;7）、亲水（86.69%）且热稳定，主要定位于细胞壁、质体或液泡，适应碱性质外体环境并参与木质化与ROS清除。碱胁迫（Na2CO3 0.02/0.5 g/L，7天）下叶片SOD活性下降，CAT活性和MDA含量在低浓度即显著升高，脯氨酸呈下降趋势；转录组共鉴定2126个差异基因，富集于植物-病原互作、苯丙烷合成和MAPK信号通路。WGCNA发现blue和green模块与抗氧化酶活性等生理指标显著相关，19个CmPRX位于这两个关键模块；CmPRX52g与SOD活性、CmPRX10a与CAT活性显著正相关，为板栗耐碱性遗传改良提供候选基因和理论基础。</t>
        </is>
      </c>
      <c r="O5" s="2" t="inlineStr">
        <is>
          <t>98个CmPRX基因、12条染色体、8个亚族；串联重复占41.84%（41个），分散27（27.55%）、近邻12（12.24%）、WGD 12（12.24%）、片段复制6（6.12%）；Chr8、6、1基因最多（17、16、15个）；蛋白262-413 aa，分子量28.84-48.09 kDa，pI 4.33-9.84（59.18%&gt;7），86.69%亲水；78.57%基因含3-4个外显子；CmPRX51b和CmPRX52h在7个受测物种均有同源；98个基因启动子含59类2286个顺式元件，预测412个TF（43家族，ERF/MYB/NAC最多）；碱胁迫生理：SOD活性显著下降，CAT活性和MDA含量在0.02 g/L即显著升高，PRO下降；共2126个DEGs（T0.02: 360上/331下；T0.5: 552上/796下）；WGCNA 14个模块，blue模块与SOD（r=0.81）、PRO（r=0.88）正相关、与MDA（r=-0.75）负相关，green模块相反；19个CmPRX位于blue和green模块；CmPRX53c FPKM 12.99→24.02，CmPRX52k 2.82→8.06（约3倍），CmPRX47n 66.43→11.37；Chr6上7成员（CmPRX53b/53d/59a-59e）与AtPrx53、AtPrx59同支，推测参与木质化</t>
        </is>
      </c>
      <c r="P5" s="2" t="inlineStr">
        <is>
          <t>板栗喜微酸环境、对碱胁迫敏感，碱化土壤建园需谨慎或先行土壤改良；研究提供CmPRX52k、CmPRX53c、CmPRX52g等耐碱候选基因，可用于碱化地区耐碱品种选育与苗木耐碱性评价，为盐碱地栗园品种选择提供参考。</t>
        </is>
      </c>
      <c r="Q5" s="5" t="inlineStr">
        <is>
          <t>低</t>
        </is>
      </c>
      <c r="R5" s="2" t="inlineStr"/>
      <c r="S5" s="2" t="inlineStr">
        <is>
          <t>背景：III类过氧化物酶（PRXs）是植物特有蛋白，对生长、发育和胁迫响应至关重要；土壤碱化是限制板栗农业生态可持续发展的常见环境胁迫，但板栗PRX基因家族的进化及碱胁迫下的调控机制尚不清楚。结果：在板栗基因组中鉴定98个CmPRX基因，不均匀分布于12条染色体，分为8个亚族；串联重复是家族扩张的主要动力。碱胁迫下叶片SOD、CAT活性和MDA含量发生显著变化，反映了植物的生理响应与适应潜力。转录组与生理数据整合分析显示CmPRX成员表达模式高度分化，RT-qPCR验证了RNA-seq数据的可靠性；WGCNA鉴定出与抗氧化酶活性显著相关的模块，提示该基因家族在氧化还原平衡调控中的关键作用。结论：本研究系统阐明了CmPRX基因家族的进化特征及碱胁迫下的表达调控网络，为通过遗传育种改良板栗耐碱性和在碱化地区选择抗性品种提供理论基础和候选基因资源。</t>
        </is>
      </c>
    </row>
    <row r="6">
      <c r="A6" s="2" t="n">
        <v>5</v>
      </c>
      <c r="B6" s="2" t="inlineStr">
        <is>
          <t>005_2026_Genome-wide identification and characterization of the GRX gene family in _i_Castanea mollissima.md</t>
        </is>
      </c>
      <c r="C6" s="2" t="inlineStr">
        <is>
          <t>2026</t>
        </is>
      </c>
      <c r="D6" s="2" t="inlineStr">
        <is>
          <t>英文</t>
        </is>
      </c>
      <c r="E6" s="2" t="inlineStr">
        <is>
          <t>Genome-wide identification and characterization of the GRX gene family in Castanea mollissima under abiotic stresses</t>
        </is>
      </c>
      <c r="F6" s="2" t="inlineStr">
        <is>
          <t>板栗谷氧还蛋白（GRX）基因家族全基因组鉴定及其在非生物胁迫下的特征分析</t>
        </is>
      </c>
      <c r="G6" s="2" t="inlineStr">
        <is>
          <t>Xili Liu, Tong Zhang, Huoqiang Quan, et al.</t>
        </is>
      </c>
      <c r="H6" s="2" t="inlineStr">
        <is>
          <t>Frontiers in Plant Science</t>
        </is>
      </c>
      <c r="I6" s="2" t="inlineStr">
        <is>
          <t>基因组与基因家族</t>
        </is>
      </c>
      <c r="J6" s="2" t="inlineStr">
        <is>
          <t>基因家族鉴定（谷氧还蛋白GRX）与非生物胁迫表达分析</t>
        </is>
      </c>
      <c r="K6" s="2" t="inlineStr">
        <is>
          <t>谷氧还蛋白;板栗;基因家族;非生物胁迫;表达谱;氧化还原稳态</t>
        </is>
      </c>
      <c r="L6" s="2" t="inlineStr">
        <is>
          <t>板栗基因组；'燕山早峰'幼苗及公共转录组数据：高温（45°C，0-12h）、低温（-15°C，0-15h）、盐（200 mmol/L NaCl，14/26天）、碱（Na2CO3 0.02/0.5 g/L，7天）、遮荫（50%/75%/90%）</t>
        </is>
      </c>
      <c r="M6" s="2" t="inlineStr">
        <is>
          <t>HMM（PF00462）+BLASTP基因鉴定；最大似然系统进化（MEGA 11，LG+I+G4）；MCScanX共线性与重复类型分析；Ka/Ks计算；PlantCARE顺式元件与PlantRegMap转录因子预测；转录组FPKM表达谱；RT-qPCR验证（Actin内参，2-ΔΔCT法）</t>
        </is>
      </c>
      <c r="N6" s="2" t="inlineStr">
        <is>
          <t>首次对板栗GRX（谷氧还蛋白）基因家族进行全基因组鉴定与表征，共鉴定32个CmGRX基因，分布于12条染色体和1个scaffold，分为CPYC（5个）、CGFS（14个）和陆生植物特异的CC型（13个）三个亚族；与拟南芥（31个）相比，板栗CGFS亚族扩张而CC亚族收缩，呈谱系特异性演化。分散复制是家族扩张的主要方式（18个基因，占56.25%），5对共线性基因的Ka/Ks为0.053-0.266，经历强纯化选择。启动子含47类773个顺式作用元件，受ERF、MYB、NAC等43个家族611个转录因子调控。转录组与RT-qPCR显示CmGRX在高温、低温、盐、碱和遮荫胁迫下表达分化明显：CmROXY12和CmROXY6在高温、盐、碱下显著下调，CmGrxS16j在低温胁迫下脉冲式剧增（5小时峰值FPKM 517.83）且随遮荫强度递增而持续上调，CmGrxS17受温度胁迫上调（与其拟南芥同源基因热耐受功能一致），为板栗抗逆分子育种和生态修复用林培育提供基因资源。</t>
        </is>
      </c>
      <c r="O6" s="2" t="inlineStr">
        <is>
          <t>32个CmGRX基因：CPYC亚族5个、CGFS亚族14个、CC亚族13个（拟南芥31个中CGFS较少而CC较多）；蛋白97-643 aa，分子量10.76-73.53 kDa，pI 4.83-9.47（56.25%为酸性），23个不稳定指数&gt;40；分散复制18个（56.25%）、WGD 6个、片段复制5个、串联仅3个；5对共线基因Ka/Ks=0.053-0.266；启动子47类773个顺式元件（ABRE、MBS、ARE、Box4、G-box、CGTCA等），预测611个TF（43家族，ERF/MYB/NAC为核心），CmGrxS16h、S15、S14、ROXY6为hub基因；CmROXY12和CmROXY6高温下FPKM由24.61和32.95骤降至0.15和7.39，在盐、碱胁迫下同样显著下调；CmGrxS16j低温5小时峰值FPKM 517.83后回落，且随遮荫（50%/75%/90%）强度递增持续上调；CmGrxS17、CmGrxC2、CmGrxS16a在低温下上调，CmGrxS16a含LTR/ABRE/MBS元件且冷胁迫显著上调；Chr1基因最多（6个），Chr9、12各4个</t>
        </is>
      </c>
      <c r="P6" s="2" t="inlineStr">
        <is>
          <t>鉴定出CmGrxS16j、CmGrxS17等低温/温度胁迫和遮荫响应关键基因，可用于板栗耐寒、耐荫种质评价与分子标记辅助选育；板栗兼具木本粮食与北方水土保持先锋树种双重价值，GRX基因资源支持抗逆品种培育和生态修复用林建设。</t>
        </is>
      </c>
      <c r="Q6" s="5" t="inlineStr">
        <is>
          <t>低</t>
        </is>
      </c>
      <c r="R6" s="2" t="inlineStr"/>
      <c r="S6" s="2" t="inlineStr">
        <is>
          <t>谷氧还蛋白（GRXs）是维持细胞氧化还原稳态、支持植物在环境变化下发育的多功能氧化还原酶。板栗既是重要的木本粮食作物，又是北方水土保持和生态造林的先锋树种，但其GRX基因家族的进化特征及非生物胁迫响应机制尚不清楚。本研究在板栗基因组中共鉴定32个CmGRX基因，分布于12条染色体和1个scaffold；系统进化分析将其分为CPYC、CGFS和CC三个亚族。进化分析表明分散复制是CmGRX家族扩张的主要机制。顺式作用元件和转录网络分析显示CmGRX基因富含胁迫响应元件，并受ERF、MYB、NAC等胁迫相关转录因子调控。转录组数据揭示了CmGRX成员在高温、低温、盐碱和遮荫等胁迫下的差异表达模式，RT-qPCR验证了RNA-seq数据的可靠性。本研究全面解析了CmGRX基因家族的进化历史和胁迫响应表达调控网络，为培育抗逆品种、服务板栗生态修复和可持续林业提供了理论依据和基因资源。</t>
        </is>
      </c>
    </row>
    <row r="7">
      <c r="A7" s="2" t="n">
        <v>6</v>
      </c>
      <c r="B7" s="2" t="inlineStr">
        <is>
          <t>006_2026_Genome-wide identification of the _i_CmHDZ__i_ gene family in Chinese chestnut (_i_Castanea moll.md</t>
        </is>
      </c>
      <c r="C7" s="2" t="inlineStr">
        <is>
          <t>2026</t>
        </is>
      </c>
      <c r="D7" s="2" t="inlineStr">
        <is>
          <t>英文</t>
        </is>
      </c>
      <c r="E7" s="2" t="inlineStr">
        <is>
          <t>Genome-wide identification of the CmHDZ gene family in Chinese chestnut (Castanea mollissima) and analysis of their expression patterns under different types of abiotic stress</t>
        </is>
      </c>
      <c r="F7" s="2" t="inlineStr">
        <is>
          <t>板栗CmHDZ基因家族全基因组鉴定及其在不同类型非生物胁迫下的表达模式分析</t>
        </is>
      </c>
      <c r="G7" s="2" t="inlineStr">
        <is>
          <t>Xu Xiurong; Cheng Shiming</t>
        </is>
      </c>
      <c r="H7" s="2" t="inlineStr">
        <is>
          <t>Frontiers in Plant Science, 17:1778593</t>
        </is>
      </c>
      <c r="I7" s="2" t="inlineStr">
        <is>
          <t>基因组与基因家族</t>
        </is>
      </c>
      <c r="J7" s="2" t="inlineStr">
        <is>
          <t>HD-Zip转录因子基因家族鉴定与非生物胁迫表达分析</t>
        </is>
      </c>
      <c r="K7" s="2" t="inlineStr">
        <is>
          <t>板栗；CmHDZ基因家族；全基因组鉴定；非生物胁迫；表达分析</t>
        </is>
      </c>
      <c r="L7" s="2" t="inlineStr">
        <is>
          <t>板栗参考基因组（品种N11-1）；板栗品种燕堡、燕山早丰、毛板红的2年生幼苗，分别经遮荫（0%/50%/75%/95%）、低温（-15°C处理0-15h）、高温（45°C处理0-12h）、干旱（持续缺水0-40天）处理</t>
        </is>
      </c>
      <c r="M7" s="2" t="inlineStr">
        <is>
          <t>HMMER构建HMM模型结合Blastp同源比对鉴定基因；MEGA10邻接法构建系统进化树；MEME保守基序与GSDS基因结构分析；PlantCARE启动子顺式作用元件预测；MCScanX共线性与DupGenFinder复制类型分析；Ka/Ks计算；转录组FPKM表达模式分析；qPCR验证（2-ΔΔCt法）；BsaI无缝克隆构建CmHDZ15-GFP融合载体并转化烟草原生质体进行亚细胞定位</t>
        </is>
      </c>
      <c r="N7" s="2" t="inlineStr">
        <is>
          <t>该研究首次在板栗全基因组中鉴定出25个CmHDZ（HD-Zip）转录因子基因，其中24个分布于12条染色体，分为HDZ I（13个）、II（7个）、III（4个）、IV（1个）四个亚家族。所有蛋白含高度保守的同源域，除CmHDZ13预测定位于叶绿体外其余均定位于细胞核，CmHDZ15核定位经GFP实验证实。12个基因形成8对共线同源基因，Ka/Ks均小于0.3，经历强纯化选择；片段复制是家族扩张的主要驱动力。启动子区富含激素与胁迫响应元件，共预测到485个顺式作用元件。转录组与qPCR分析表明约40%的CmHDZ成员表达受冷、热、遮荫和干旱胁迫影响，其中CmHDZ15在遮荫、低温和高温处理下表达变化最显著。该研究首次系统分析了板栗CmHDZ基因在四种胁迫下的表达模式，为板栗抗性基因筛选和分子育种提供了遗传资源。</t>
        </is>
      </c>
      <c r="O7" s="2" t="inlineStr">
        <is>
          <t>板栗共25个CmHDZ基因，为已报道物种中最少；HDZ I/II/III/IV亚家族分别含13/7/4/1个成员；蛋白长168-843个氨基酸，分子量19.69-92.19 kDa；12个基因形成8对共线同源基因，Ka/Ks均小于0.3；启动子共485个顺式元件，抗氧化响应元件ARE最丰富；与拟南芥共线基因对最多（34对），与水稻（10对）、玉米（9对）最少，与壳斗科物种39-40对；约40%的CmHDZ成员表达受冷、热、遮荫、干旱影响；CmHDZ15在遮荫下表达先升后降、低温下逐渐升高、高温下先降后升，定位于细胞核；HDZ I和IV成员在胁迫下表达高于HDZ II和III</t>
        </is>
      </c>
      <c r="P7" s="2" t="inlineStr">
        <is>
          <t>揭示了板栗响应遮荫、高温、低温、干旱的关键转录因子基因（尤其CmHDZ15），为板栗抗逆品种分子育种提供基因资源，也为山地板栗园光照与温度逆境管理研究提供理论依据。</t>
        </is>
      </c>
      <c r="Q7" s="5" t="inlineStr">
        <is>
          <t>低</t>
        </is>
      </c>
      <c r="R7" s="2" t="inlineStr"/>
      <c r="S7" s="2" t="inlineStr">
        <is>
          <t>同源异型域-亮氨酸拉链（HDZ）转录因子家族成员在植物应对逆境中发挥重要作用。本研究分析板栗基因组以鉴定参与胁迫响应的CmHDZ基因，共鉴定出25个CmHDZ基因，其中24个分布于12条染色体。进化分析将其分为HDZ I、II、III、IV四个亚家族，分别含13、7、4、1个成员。所有CmHDZ蛋白均含高度保守的同源域（motif 1）。亚细胞定位预测显示除CmHDZ13定位于叶绿体外，多数成员定位于细胞核，实验进一步证实了CmHDZ15的核定位。共线性分析显示12个CmHDZ成员形成8对同源基因；板栗与水稻、玉米共享基因对最少（10对和9对），与拟南芥最多（34对）。顺式作用元件预测表明全部25个CmHDZ基因启动子均含激素和胁迫响应元件。CmHDZ基因在不同胁迫下表达模式各异，其中CmHDZ15在遮荫、低温和高温处理下表达量均显著变化。qPCR定量分析证实了转录组数据的可靠性。本研究为板栗抗性基因筛选和分子育种提供了遗传资源。</t>
        </is>
      </c>
    </row>
    <row r="8">
      <c r="A8" s="2" t="n">
        <v>7</v>
      </c>
      <c r="B8" s="2" t="inlineStr">
        <is>
          <t>007_2026_Genome-wide identification of the _i_HSF__i_ gene family in Chinese chestnut and functional char.md</t>
        </is>
      </c>
      <c r="C8" s="2" t="inlineStr">
        <is>
          <t>2026</t>
        </is>
      </c>
      <c r="D8" s="2" t="inlineStr">
        <is>
          <t>英文</t>
        </is>
      </c>
      <c r="E8" s="2" t="inlineStr">
        <is>
          <t>Genome-wide identification of the HSF gene family in Chinese chestnut and functional characterization of CmHSF4 under temperature stress</t>
        </is>
      </c>
      <c r="F8" s="2" t="inlineStr">
        <is>
          <t>板栗HSF基因家族全基因组鉴定及CmHSF4在温度胁迫下的功能鉴定</t>
        </is>
      </c>
      <c r="G8" s="2" t="inlineStr">
        <is>
          <t>Xu XiuRong; Wu ZiQi; Jiang Xibing; Cheng Shiming</t>
        </is>
      </c>
      <c r="H8" s="2" t="inlineStr">
        <is>
          <t>Frontiers in Plant Science, 17:1749489</t>
        </is>
      </c>
      <c r="I8" s="2" t="inlineStr">
        <is>
          <t>基因组与基因家族</t>
        </is>
      </c>
      <c r="J8" s="2" t="inlineStr">
        <is>
          <t>热激转录因子(HSF)基因家族鉴定与高温胁迫响应</t>
        </is>
      </c>
      <c r="K8" s="2" t="inlineStr">
        <is>
          <t>板栗；HSF基因家族；全基因组鉴定；高温胁迫；CmHSF4</t>
        </is>
      </c>
      <c r="L8" s="2" t="inlineStr">
        <is>
          <t>板栗基因组（品种N11-1）；燕堡、燕山早丰幼苗遮荫/低温/高温/干旱转录组数据；1年生板栗苗45°C高温处理0-12h叶片；拟南芥原生质体（亚细胞定位）；烟草过表达株系（功能验证）</t>
        </is>
      </c>
      <c r="M8" s="2" t="inlineStr">
        <is>
          <t>Pfam HMM域（PF00447）与BLAST结合筛选基因家族；MEGA7构建系统进化树；MEME保守基序与基因结构分析；PlantCARE顺式作用元件预测；MCScanX共线性与Ka/Ks计算、DupGenFinder复制类型分析；转录组FPKM表达分析；RT-qPCR验证；GFP融合拟南芥原生质体亚细胞定位；农杆菌介导35S::CmHSF4烟草过表达并进行45°C高温处理，测定MDA和H2O2含量</t>
        </is>
      </c>
      <c r="N8" s="2" t="inlineStr">
        <is>
          <t>该研究首次对板栗HSF（热激转录因子）基因家族进行全基因组鉴定，共获得18个CmHSF基因，不均匀分布于12条染色体，系统进化分为A、B、C三个亚家族，其中A类12个（占70.59%）。共线性和Ka/Ks分析表明片段复制是家族扩张的主要动力，基因受强纯化选择。启动子区富含缺氧、低温等非生物胁迫及激素响应元件，所有基因均含ABRE元件，提示ABA信号深度参与热激响应调控。转录组分析显示各成员在遮荫、低温、高温、干旱胁迫下表达模式复杂多样；其中CmHSF4在45°C高温处理4小时表达量剧增324倍，是响应高温的核心候选基因。亚细胞定位证实CmHSF4定位于细胞核，符合其转录因子特征；转基因烟草初步验证显示高温胁迫诱导显著氧化损伤（MDA和H2O2含量上升），为板栗耐热机理研究和抗性育种奠定了基础。</t>
        </is>
      </c>
      <c r="O8" s="2" t="inlineStr">
        <is>
          <t>18个CmHSF基因分A（12个，占70.59%）/B（5个）/C（1个）三类；蛋白长204-515个氨基酸，分子量23.64-56.97 kDa，全部定位于细胞核；2对片段复制基因Ka/Ks均小于0.3；与葡萄共线基因对最多（21对）、玉米最少（8对）；CmHSF4在45°C处理4h表达量增加324倍，为变化最剧烈的基因；所有CmHSF基因启动子均含ABA和高温信号响应元件ABRE；高温胁迫下烟草幼苗失水萎蔫、MDA和H2O2含量上升；5个基因（CmHSF3/5/8/9/10）在各胁迫下表达接近于零</t>
        </is>
      </c>
      <c r="P8" s="2" t="inlineStr">
        <is>
          <t>锁定高温胁迫下表达剧增324倍的CmHSF4为核心耐热候选基因，为培育耐高温板栗品种、应对全球变暖导致的减产风险提供分子育种靶点，也为理解板栗热激响应调控网络提供理论基础。</t>
        </is>
      </c>
      <c r="Q8" s="5" t="inlineStr">
        <is>
          <t>低</t>
        </is>
      </c>
      <c r="R8" s="2" t="inlineStr"/>
      <c r="S8" s="2" t="inlineStr">
        <is>
          <t>热激转录因子（HSF）是植物响应非生物胁迫的关键调控因子。为探明板栗HSF基因家族特征及其在非生物胁迫中的作用，本研究在全基因组水平进行了系统分析。利用生物信息学方法在板栗基因组中鉴定出18个CmHSF基因，不均匀分布于12条染色体。系统进化分析将其分为A、B、C三个亚家族，A类成员最多（12个）。蛋白保守基序和基因结构分析表明各亚家族内部结构高度保守而亚家族间存在差异，提示功能分化。共线性分析显示片段复制是该家族扩张的主要驱动力，基因受强纯化选择。顺式作用元件分析显示CmHSF基因启动子富含缺氧、低温等非生物胁迫及激素响应元件，提示其参与复杂的胁迫调控网络。表达模式分析揭示了CmHSF基因功能的多样性，其中CmHSF4在高温胁迫下表现尤为突出，表达量在4小时时剧增324倍，是理解板栗热激响应的核心候选基因。亚细胞定位实验证实CmHSF4定位于细胞核。转基因烟草初步功能验证表明高温胁迫诱导显著氧化损伤（MDA和H2O2含量升高），为深入的抗逆功能研究奠定了基础。</t>
        </is>
      </c>
    </row>
    <row r="9">
      <c r="A9" s="2" t="n">
        <v>8</v>
      </c>
      <c r="B9" s="2" t="inlineStr">
        <is>
          <t>008_2026_Identification of Fungal Pathogens of Chinese Chestnut Fruit Rot and Analysis of Resistance Diff.md</t>
        </is>
      </c>
      <c r="C9" s="2" t="inlineStr">
        <is>
          <t>2026</t>
        </is>
      </c>
      <c r="D9" s="2" t="inlineStr">
        <is>
          <t>英文</t>
        </is>
      </c>
      <c r="E9" s="2" t="inlineStr">
        <is>
          <t>Identification of Fungal Pathogens of Chinese Chestnut Fruit Rot and Analysis of Resistance Differences Among Major Cultivars</t>
        </is>
      </c>
      <c r="F9" s="2" t="inlineStr">
        <is>
          <t>板栗果实腐烂病真菌病原鉴定与主栽品种抗性差异分析</t>
        </is>
      </c>
      <c r="G9" s="2" t="inlineStr">
        <is>
          <t>Xu Haijiao; Wang Xumin; Niu Gang; et al.</t>
        </is>
      </c>
      <c r="H9" s="2" t="inlineStr">
        <is>
          <t>Microorganisms, 14(1):113</t>
        </is>
      </c>
      <c r="I9" s="2" t="inlineStr">
        <is>
          <t>病虫害防治</t>
        </is>
      </c>
      <c r="J9" s="2" t="inlineStr">
        <is>
          <t>果实贮藏期真菌性果腐病原鉴定与品种抗性评价</t>
        </is>
      </c>
      <c r="K9" s="2" t="inlineStr">
        <is>
          <t>板栗果腐；病原菌鉴定；品种抗性；蔗糖；贮藏损失；潜伏侵染</t>
        </is>
      </c>
      <c r="L9" s="2" t="inlineStr">
        <is>
          <t>河北省昌黎果树研究所板栗种质资源圃6个主栽品种果实（大板红DBH、燕光YG、燕山硕丰YSSF、燕山早丰YSZF、燕京YJ、燕丽1号X19-94），4°C冷藏180天；从健康与发病果仁分离的220株真菌</t>
        </is>
      </c>
      <c r="M9" s="2" t="inlineStr">
        <is>
          <t>4°C贮藏期每30天调查腐烂率；组织分离培养（PDA，表面消毒）获得真菌分离株；菌落与显微形态特征观察（分生孢子测量）；rDNA-ITS及多基因（TUB、TEF、CAL、HIS、GAPDH、RPB2）序列测定与MEGA7邻接法系统发育分析；伤口接种致病性测定（2×10^6孢子/mL，25°C保湿15天，科赫法则验证）；6菌混合接种评价品种病情指数（0-9级分级）；Pearson相关性分析（病情指数与糖组分、硬度）</t>
        </is>
      </c>
      <c r="N9" s="2" t="inlineStr">
        <is>
          <t>该研究对河北燕山产区板栗果实腐烂病进行系统调查，从健康与发病果仁中共分离220株真菌，归为6属，其中间座壳属Diaporthe分离频率最高（48.6%）。结合形态学与多基因系统发育分析，确定6种致病菌：Diaporthe eres（国内首次报道引起板栗果腐）、Talaromyces rugulosus、Alternaria alternata、Mucor circinelloides、Fusarium proliferatum和Rhizopus stolonifer，伤口接种发病率均达100%，其中卷枝毛霉和层出镰刀菌致病力最强。6个主栽品种抗性差异显著：燕光、燕山硕丰、大板红抗病性强（180天冷藏腐烂率仅1.67%-5.27%），燕京高度感病（腐烂率47.71%，病情指数70.50）。病情指数与果仁蔗糖、山梨醇含量极显著负相关，与水苏糖、果糖含量极显著正相关，为抗病品种选育和采后防腐策略制定提供了理论依据。</t>
        </is>
      </c>
      <c r="O9" s="2" t="inlineStr">
        <is>
          <t>220株真菌分6属：Diaporthe 48.6%、Talaromyces 22.3%、Alternaria 10.5%、Mucor 9.5%、Fusarium 5.5%、Rhizopus 3.6%；6种病原伤口接种发病率均100%；M. circinelloides和F. proliferatum致病力最强，D. eres和T. rugulosus最弱；抗病品种YG/YSSF/DBH 180天冷藏腐烂率1.67%-5.27%，中感YSZF 25.67%、X19-94 20.64%，高感YJ 47.71%（病情指数70.50±7.22）；混合接种下YG病情指数最低（32.96±0.64）、YJ最高（70.50±7.22）；病情指数与蔗糖、山梨醇含量极显著负相关（p&lt;0.01，r&lt;-0.5），与水苏糖、果糖极显著正相关（r&gt;0.5），与果实硬度无显著相关；D. eres为国内首次报道的板栗果腐病原；6种菌均可从表面健康果仁分离到，存在潜伏侵染</t>
        </is>
      </c>
      <c r="P9" s="2" t="inlineStr">
        <is>
          <t>明确河北燕山产区板栗果腐的6种优势病原及品种抗性差异，直接指导果农和产业选用燕光、大板红等抗病耐贮品种，针对全国每年20-30%的贮藏损失加强采前健康管理与采后及时防腐处理。</t>
        </is>
      </c>
      <c r="Q9" s="4" t="inlineStr">
        <is>
          <t>高</t>
        </is>
      </c>
      <c r="R9" s="2" t="inlineStr"/>
      <c r="S9" s="2" t="inlineStr">
        <is>
          <t>本研究旨在鉴定引起河北省板栗果实腐烂的真菌种类，并分析主栽品种间的抗性差异。从健康和发病果仁中共获得220株真菌分离株，归为6个属：间座壳属Diaporthe（48.6%）、篮状菌属Talaromyces（22.3%）、链格孢属Alternaria（10.5%）、毛霉属Mucor（9.5%）、镰刀菌属Fusarium（5.5%）和根霉属Rhizopus（3.6%）。基于形态学和分子分析，6个代表性菌株分别鉴定为Diaporthe eres、Talaromyces rugulosus、Alternaria alternata、Mucor circinelloides、Fusarium proliferatum和Rhizopus stolonifer，其中D. eres为国内首次报道引起板栗果实腐烂。主栽品种抗病性评价显示显著差异：燕光（YG）、燕山硕丰（YSSF）和大板红（DBH）在自然条件和人工接种下均表现强抗性（自然贮藏180天腐烂率1.67%-5.27%，接种病情指数32.96±0.64至52.61±0.55），而燕京（YJ）高度感病（腐烂率47.71%，病情指数70.50±7.22）。相关性分析表明病情指数与蔗糖和山梨醇含量负相关，与水苏糖和果糖含量正相关。本研究深化了对板栗采后果腐的认识，为抗病品种选育和防控策略制定提供了理论基础。</t>
        </is>
      </c>
    </row>
    <row r="10">
      <c r="A10" s="2" t="n">
        <v>9</v>
      </c>
      <c r="B10" s="2" t="inlineStr">
        <is>
          <t>009_2025_Characterization of DnaJ gene family in Castanea mollissima and functional analysis of CmDnaJ27 .md</t>
        </is>
      </c>
      <c r="C10" s="2" t="inlineStr">
        <is>
          <t>2025</t>
        </is>
      </c>
      <c r="D10" s="2" t="inlineStr">
        <is>
          <t>英文</t>
        </is>
      </c>
      <c r="E10" s="2" t="inlineStr">
        <is>
          <t>Characterization of DnaJ gene family in Castanea mollissima and functional analysis of CmDnaJ27 under cold and heat stresses</t>
        </is>
      </c>
      <c r="F10" s="2" t="inlineStr">
        <is>
          <t>板栗DnaJ基因家族鉴定及CmDnaJ27在冷、热胁迫下的功能分析</t>
        </is>
      </c>
      <c r="G10" s="2" t="inlineStr">
        <is>
          <t>Yu Liyang; Tian Yujuan; Wang Jinxin; et al.</t>
        </is>
      </c>
      <c r="H10" s="2" t="inlineStr">
        <is>
          <t>BMC Plant Biology, 25:778</t>
        </is>
      </c>
      <c r="I10" s="2" t="inlineStr">
        <is>
          <t>基因组与基因家族</t>
        </is>
      </c>
      <c r="J10" s="2" t="inlineStr">
        <is>
          <t>DnaJ(HSP40)基因家族鉴定与温度胁迫功能验证</t>
        </is>
      </c>
      <c r="K10" s="2" t="inlineStr">
        <is>
          <t>板栗；DnaJ基因家族；温度胁迫；CmDnaJ27；WGCNA；表达分析</t>
        </is>
      </c>
      <c r="L10" s="2" t="inlineStr">
        <is>
          <t>板栗基因组（N11-1参考基因组）；燕山早丰幼苗（-15°C低温0-15h、45°C高温0-12h处理叶片，河北秦皇岛）；9个NCBI转录组项目共192个runs（涵盖种仁、芽、花、胚珠发育及干旱、栗瘿蜂危害、冷热胁迫）；烟草过表达株系</t>
        </is>
      </c>
      <c r="M10" s="2" t="inlineStr">
        <is>
          <t>BLASTP与HMM（PF01556、PF00684、PF00226）筛选鉴定78个基因；最大似然法与邻接法构建系统进化树；MEME基序与基因结构分析；MCScanX共线性、Ks值与复制类型分析；PlantCARE顺式作用元件与PTRM转录因子调控网络预测；GO/KEGG富集分析；192个runs转录组FPKM表达热图；WGCNA加权基因共表达网络分析；RT-qPCR验证；GFP融合拟南芥原生质体亚细胞定位；农杆菌介导烟草遗传转化，-15°C和45°C处理5min后测定H2O2、MDA、超氧阴离子、气孔导度和PSII实际光化学效率</t>
        </is>
      </c>
      <c r="N10" s="2" t="inlineStr">
        <is>
          <t>该研究首次在板栗基因组中鉴定出78个CmDnaJ（HSP40）基因，分为DJA（4个）、DJB（6个）、DJC（68个）三个亚家族，散布复制是家族扩张的主要动力。启动子富含温度胁迫相关顺式作用元件，其中31个基因含低温响应LTR元件。基于9个项目192个runs的转录组分析显示CmDnaJ基因广泛参与板栗生长、发育（如胚珠败育、种仁发育）和环境胁迫响应。WGCNA将CmDnaJ27和CmDnaJ34锁定于与温度刺激响应显著相关的红模块；RT-qPCR和亚细胞定位证实CmDnaJ27在冷、热胁迫下显著上调并定位于细胞核和细胞质。烟草过表达实验表明CmDnaJ27显著降低植株对冷、热胁迫的耐受性（H2O2、MDA、超氧阴离子含量升高，气孔导度和PSII光化学效率下降），属负调控因子，为板栗抗温度胁迫品种改良提供了新的理论基础和候选基因。</t>
        </is>
      </c>
      <c r="O10" s="2" t="inlineStr">
        <is>
          <t>78个CmDnaJ基因分DJA（4个）/DJB（6个）/DJC（68个）三个亚家族；编码蛋白110-2578个氨基酸，分子量12.11-281.87 kDa；多数定位于细胞核（33/86）、叶绿体（22/86）、细胞质（11/86）；复制类型以散布复制为主（62个）；45°C高温下CmDnaJ27表达量FPKM由12.35（对照）升至1666.40（4h）、1367.53（8h）、928.85（12h）；CmDnaJ34由15.48升至1116.94（8h）；CmDnaJ13由0.55升至252.75（8h）；CmDnaJ21在干旱处理全程FPKM大于200；CmDnaJ7仅在败育胚珠中高表达；CmDnaJ29在栗瘿蜂危害后显著上调，CmDnaJ77在部分抗虫品种树禾无应栗中表达高于感虫品种红栗；CmDnaJ27过表达烟草冷/热处理后H2O2、MDA、超氧阴离子显著高于野生型，气孔导度和PhiPS2下降；31个基因启动子含LTR低温响应元件</t>
        </is>
      </c>
      <c r="P10" s="2" t="inlineStr">
        <is>
          <t>提供了与温度胁迫、胚珠败育、干旱和栗瘿蜂危害响应相关的板栗DnaJ基因资源，其中CmDnaJ27为耐冷耐热负调控因子，可用于分子标记辅助选育抗逆品种，并为提高板栗出实率和抗逆栽培提供理论参考。</t>
        </is>
      </c>
      <c r="Q10" s="5" t="inlineStr">
        <is>
          <t>低</t>
        </is>
      </c>
      <c r="R10" s="2" t="inlineStr"/>
      <c r="S10" s="2" t="inlineStr">
        <is>
          <t>背景：DnaJ基因家族在植物非生物胁迫响应中发挥关键作用，但其在板栗基因组中的分布尚不清楚。结果：本研究在板栗基因组中鉴定并表征了78个CmDnaJ基因，基于系统进化分析分为三个亚家族。启动子区富含温度胁迫相关顺式作用元件，表明该家族与温度胁迫响应密切相关。散布复制是CmDnaJ家族扩张的主要驱动力。分析了来自9个项目192个runs的RNA-seq数据，揭示了CmDnaJ基因在板栗生长、发育和环境胁迫响应中的潜在作用。加权基因共表达网络分析显示CmDnaJ27和CmDnaJ34位于与温度刺激响应显著相关的红模块。RT-qPCR实验和亚细胞定位验证了CmDnaJ基因在冷、热胁迫下的表达水平和定位。在烟草中过表达CmDnaJ27显著降低其对冷、热胁迫的耐受性。结论：本研究为深入理解DnaJ基因家族在板栗生长、发育和环境胁迫响应中的重要作用提供了参考。</t>
        </is>
      </c>
    </row>
    <row r="11">
      <c r="A11" s="2" t="n">
        <v>10</v>
      </c>
      <c r="B11" s="2" t="inlineStr">
        <is>
          <t>010_2025_Comprehensive Analysis of the ARF Gene Family Reveals Their Roles in Chinese Chestnut (Castanea .md</t>
        </is>
      </c>
      <c r="C11" s="2" t="inlineStr">
        <is>
          <t>2025</t>
        </is>
      </c>
      <c r="D11" s="2" t="inlineStr">
        <is>
          <t>英文</t>
        </is>
      </c>
      <c r="E11" s="2" t="inlineStr">
        <is>
          <t>Comprehensive Analysis of the ARF Gene Family Reveals Their Roles in Chinese Chestnut (Castanea mollissima) Seed Kernel Development</t>
        </is>
      </c>
      <c r="F11" s="2" t="inlineStr">
        <is>
          <t>板栗ARF基因家族综合分析及其在种仁发育中的作用</t>
        </is>
      </c>
      <c r="G11" s="2" t="inlineStr">
        <is>
          <t>Liu Xili; Li Yun; Liang Manman; et al.</t>
        </is>
      </c>
      <c r="H11" s="2" t="inlineStr">
        <is>
          <t>Biology, 14(10):1460</t>
        </is>
      </c>
      <c r="I11" s="2" t="inlineStr">
        <is>
          <t>基因组与基因家族</t>
        </is>
      </c>
      <c r="J11" s="2" t="inlineStr">
        <is>
          <t>ARF基因家族鉴定与种仁发育/淀粉积累调控</t>
        </is>
      </c>
      <c r="K11" s="2" t="inlineStr">
        <is>
          <t>板栗；ARF基因家族；种仁发育；淀粉积累；兴隆4号；WGCNA</t>
        </is>
      </c>
      <c r="L11" s="2" t="inlineStr">
        <is>
          <t>板栗高淀粉品种兴隆4号种仁，花后60、70、80、90、100天（S1-S5）5个发育时期，河北秦皇岛试验基地；板栗基因组（N11-1）；5个时期种仁转录组（15个cDNA文库，NCBI登录号PRJNA1268182）</t>
        </is>
      </c>
      <c r="M11" s="2" t="inlineStr">
        <is>
          <t>HMM/BLAST基因家族鉴定与最大似然法系统进化分析；MCScanX共线性、Ka/Ks与复制类型分析；PlantCARE顺式作用元件；PTRM转录因子与STRING蛋白互作网络预测；GO/KEGG富集分析；种仁表型测定（鲜重、纵/横/侧径）；试剂盒酶法定量直链与支链淀粉含量；测定AGPase、SSS、GBSS、SBE淀粉合成酶活性；Illumina NovaSeq 6000转录组测序与DESeq2差异表达分析；WGCNA共表达网络；RT-qPCR验证</t>
        </is>
      </c>
      <c r="N11" s="2" t="inlineStr">
        <is>
          <t>该研究首次系统鉴定板栗ARF（生长素响应因子）基因家族，获得18个CmARF成员，分为4组，散布复制（占66.67%）是家族扩张的主要动力，Ka/Ks均小于1。以高淀粉品种兴隆4号为材料，测定花后60-100天5个时期种仁表型、淀粉含量和淀粉合成酶活性：种仁鲜重由0.28g增至6.52g，总淀粉由548.25 mg/g（占干重54.83%）增至640.74 mg/g，GBSS活性前期最高、成熟期降至最低，AGPase和SBE活性总体上升。转录组与WGCNA分析表明10个CmARF基因位于与种仁大小和淀粉含量显著相关的turquoise模块；CmARF5a和CmARF18表达与总淀粉、支链淀粉、直链淀粉含量极显著负相关，且与淀粉合成核心基因表达无直接相关，推测二者作为间接抑制因子负调控淀粉积累，为板栗种仁发育和淀粉合成分子机理研究及高淀粉品种选育提供了候选基因和理论框架。</t>
        </is>
      </c>
      <c r="O11" s="2" t="inlineStr">
        <is>
          <t>18个CmARF基因分4组（Ia 6个/Ib 6个/III 4个/II 2个），蛋白分子量63.15-119.12 kDa，除CmARF6b外均为细胞核定位；散布复制占66.67%（12个基因）；兴隆4号种仁鲜重0.28g（S1，花后60天）增至6.52g（S5，花后100天）；纵径5.60→21.45mm、横径10.40→28.85mm、侧径8.76→19.44mm，S3-S4间膨大最快；总淀粉548.25 mg/g（占干重54.83%）增至640.74 mg/g；支链淀粉419.38→500.25 mg/g、直链淀粉128.87→140.49 mg/g；GBSS活性S1、S2最高、S5最低；AGPase和SBE活性总体上升；CmARF5a和CmARF18与总淀粉含量极显著负相关（p&lt;0.01），表达量随成熟从FPKM 31.32降至4.52（CmARF5a）；turquoise模块（含10个CmARF基因）与纵径r=-0.97、与总淀粉r=-0.93；S5比S1差异基因下调4712个、上调4478个；花后100天刺苞开裂标志成熟</t>
        </is>
      </c>
      <c r="P11" s="2" t="inlineStr">
        <is>
          <t>阐明种仁发育过程中淀粉积累与淀粉合成酶活性的变化规律，确定CmARF5a、CmARF18为淀粉积累负调控候选基因，可服务于高淀粉板栗品种选育，花后100天刺苞开裂的成熟标志也为确定适宜采收期提供依据。</t>
        </is>
      </c>
      <c r="Q11" s="3" t="inlineStr">
        <is>
          <t>中</t>
        </is>
      </c>
      <c r="R11" s="2" t="inlineStr"/>
      <c r="S11" s="2" t="inlineStr">
        <is>
          <t>生长素响应因子（ARF）是调控植物生长发育的重要转录因子，但其在多年生木本作物中特别是调控淀粉积累（板栗产量与品质的关键决定因素）方面的功能尚不清楚。本研究在板栗基因组中鉴定出18个理化性质多样的CmARF成员，分为四组，散布复制是家族扩张的主要机制。随板栗种仁发育，淀粉含量和淀粉生物合成相关酶活性发生显著变化，尤其是GBSS活性显著下降，与种仁大小和淀粉含量增加相对应。转录组分析揭示了CmARF基因在种仁发育过程中的表达模式。关键新发现是CmARF5a和CmARF18可能作为淀粉积累的关键抑制因子，这一假设基于其表达谱、与生理指标的强负相关性及WGCNA结果；值得注意的是，它们与核心淀粉生物合成基因的表达无相关性，提示存在潜在的间接调控机制，为ARF在贮藏器官发育中的功能提供了新视角。本研究首次全面表征了板栗CmARF家族，为种仁发育和淀粉生物合成的功能研究提供了理论框架和候选基因。</t>
        </is>
      </c>
    </row>
    <row r="12">
      <c r="A12" s="2" t="n">
        <v>11</v>
      </c>
      <c r="B12" s="2" t="inlineStr">
        <is>
          <t>011_2025_Evaluation of In Vivo and In Vitro Toxicity of Chestnut (_i_Castanea mollissima__i_ Blume) Plant.md</t>
        </is>
      </c>
      <c r="C12" s="2" t="inlineStr">
        <is>
          <t>2025</t>
        </is>
      </c>
      <c r="D12" s="2" t="inlineStr">
        <is>
          <t>英文</t>
        </is>
      </c>
      <c r="E12" s="2" t="inlineStr">
        <is>
          <t>Evaluation of In Vivo and In Vitro Toxicity of Chestnut (Castanea mollissima Blume) Plant: Developmental Toxicity in Zebrafish Embryos, Cytotoxicity, Antioxidant Activity, and Phytochemical Composition by LC-ESI-MS/MS</t>
        </is>
      </c>
      <c r="F12" s="2" t="inlineStr">
        <is>
          <t>板栗植物体内与体外毒性评价：斑马鱼胚胎发育毒性、细胞毒性、抗氧化活性及LC-ESI-MS/MS植物化学成分分析</t>
        </is>
      </c>
      <c r="G12" s="2" t="inlineStr">
        <is>
          <t>İbrahim Demirtas, Mehmet Nuri Atalar, Zeynebe Bingol et al.</t>
        </is>
      </c>
      <c r="H12" s="2" t="inlineStr">
        <is>
          <t>Food Science &amp; Nutrition, 2025; 13: e70387</t>
        </is>
      </c>
      <c r="I12" s="2" t="inlineStr">
        <is>
          <t>生物活性与功效</t>
        </is>
      </c>
      <c r="J12" s="2" t="inlineStr">
        <is>
          <t>栗壳多酚成分分析与抗氧化、降糖活性及安全性评价</t>
        </is>
      </c>
      <c r="K12" s="2" t="inlineStr">
        <is>
          <t>栗壳;多酚;抗氧化;细胞毒性;发育毒性;酶抑制</t>
        </is>
      </c>
      <c r="L12" s="2" t="inlineStr">
        <is>
          <t>板栗（Castanea mollissima）栗壳水提物（制栗糖果加工中废弃的栗壳100 g加蒸馏水500 mL煮沸1 h后冻干成粉）；人前列腺癌细胞LnCaP、结肠癌细胞CaCo-2、乳腺癌细胞MDA-MB-231、肺癌细胞A549及正常人脐静脉内皮细胞HUVEC；野生型AB系斑马鱼（Danio rerio）胚胎与幼鱼</t>
        </is>
      </c>
      <c r="M12" s="2" t="inlineStr">
        <is>
          <t>LC-ESI-MS/MS（MRM模式）鉴定多酚成分；DPPH•/ABTS•+自由基清除及Fe3+、Cu2+、FRAP还原力测定；Ellman法测定AChE/BChE抑制与α-葡萄糖苷酶抑制试验；MTT法细胞毒性试验；斑马鱼胚胎半静态发育毒性试验（3.9-125 μg/mL共6个浓度，每组30枚胚胎，96 hpf）；IC50/EC50计算</t>
        </is>
      </c>
      <c r="N12" s="2" t="inlineStr">
        <is>
          <t>该研究首次系统评价了板栗栗壳水提物的植物化学成分、体外活性和体内安全性。LC-MS/MS（MRM法）共筛查41种标准酚类物，其中儿茶素含量最高（12798.886 mg/kg），其次为没食子酸（1967.430 mg/kg）、花旗松素（866.314 mg/kg）、白杨素（105.968 mg/kg）等。提取物表现出强抗氧化能力：ABTS自由基清除IC50为3.89 μg/mL，DPPH为12.60 μg/mL，还原力超过α-生育酚、Trolox和抗坏血酸；对AChE、BChE和α-葡萄糖苷酶抑制的IC50分别为0.307、0.648和0.473 μg/mL，提示抗糖尿病与神经保护潜力。细胞试验显示对前列腺癌LnCaP细胞毒性最强（EC50 64.1 μg/mL），而对正常HUVEC细胞毒性较低。斑马鱼试验中低剂量无发育毒性，仅最高剂量125 μg/mL使存活率降至76.7%并出现心包水肿和脊柱弯曲。栗壳废弃资源可高值化利用。</t>
        </is>
      </c>
      <c r="O12" s="2" t="inlineStr">
        <is>
          <t>儿茶素12798.886 mg/kg（含量最高）；没食子酸1967.430 mg/kg；花旗松素866.314 mg/kg；polydatin 121.014 mg/kg；表儿茶素116.010 mg/kg；白杨素105.968 mg/kg；ABTS清除IC50=3.89 μg/mL（优于BHT 4.98、抗坏血酸27.72 μg/mL）；DPPH清除IC50=12.60 μg/mL；AChE抑制IC50=0.307 μg/mL；BChE抑制IC50=0.648 μg/mL；α-葡萄糖苷酶抑制IC50=0.473 μg/mL；癌细胞EC50：LnCaP 64.1、CaCo-2 99.6、MDA-MB-231 101.4、A549 152 μg/mL；正常HUVEC细胞EC50=152 μg/mL；斑马鱼125 μg/mL组存活率76.7%（p&lt;0.0001）；62.5和125 μg/mL组畸形率11.7%和13.3%（心包水肿、脊柱弯曲）；低剂量组孵化率&gt;90%</t>
        </is>
      </c>
      <c r="P12" s="2" t="inlineStr">
        <is>
          <t>栗壳是板栗加工的主要副产物，富含儿茶素、没食子酸等活性多酚，抗氧化与降糖、神经保护活性强且低剂量安全，可用于开发天然抗氧化剂和功能性产品，实现栗壳变废为宝、提升加工附加值。</t>
        </is>
      </c>
      <c r="Q12" s="4" t="inlineStr">
        <is>
          <t>高</t>
        </is>
      </c>
      <c r="R12" s="2" t="inlineStr"/>
      <c r="S12" s="2" t="inlineStr">
        <is>
          <t>对天然产物新型治疗剂日益增长的兴趣促使人们关注板栗水提物的生物活性与安全性。本研究首次采用多种生物分析抗氧化方法对板栗（Castanea mollissima）水提物进行综合评价，测定其对乙酰胆碱酯酶（AChE）、丁酰胆碱酯酶（BChE）和α-葡萄糖苷酶等与糖尿病和阿尔茨海默病相关关键酶的抑制作用，并用斑马鱼（Danio rerio）胚胎评价其发育毒性与细胞毒性。LC-ESI-MS/MS鉴定出儿茶素、没食子酸、花旗松素和表儿茶素为主要成分。通过DPPH•、ABTS•+自由基清除及Fe3+、Cu2+、Fe3+-TPTZ还原力测定抗氧化能力。结果表明板栗水提物具有显著的抗氧化、抗糖尿病和神经保护潜力，支持其在医药和营养保健领域的应用前景。</t>
        </is>
      </c>
    </row>
    <row r="13">
      <c r="A13" s="2" t="n">
        <v>12</v>
      </c>
      <c r="B13" s="2" t="inlineStr">
        <is>
          <t>012_2025_Genome-wide analysis of bHLH transcription factor family reveals their involvement in kernel dev.md</t>
        </is>
      </c>
      <c r="C13" s="2" t="inlineStr">
        <is>
          <t>2025</t>
        </is>
      </c>
      <c r="D13" s="2" t="inlineStr">
        <is>
          <t>英文</t>
        </is>
      </c>
      <c r="E13" s="2" t="inlineStr">
        <is>
          <t>Genome-wide analysis of bHLH transcription factor family reveals their involvement in kernel development and biotic stress responses in Chinese chestnut</t>
        </is>
      </c>
      <c r="F13" s="2" t="inlineStr">
        <is>
          <t>板栗bHLH转录因子家族全基因组分析揭示其参与种仁发育与生物胁迫响应</t>
        </is>
      </c>
      <c r="G13" s="2" t="inlineStr">
        <is>
          <t>Rongchen Li, Liyun Huang, Xiaolu Huang et al.</t>
        </is>
      </c>
      <c r="H13" s="2" t="inlineStr">
        <is>
          <t>Frontiers in Plant Science, 16: 1627760</t>
        </is>
      </c>
      <c r="I13" s="2" t="inlineStr">
        <is>
          <t>基因组与基因家族</t>
        </is>
      </c>
      <c r="J13" s="2" t="inlineStr">
        <is>
          <t>bHLH转录因子基因家族鉴定与表达分析</t>
        </is>
      </c>
      <c r="K13" s="2" t="inlineStr">
        <is>
          <t>板栗;bHLH转录因子;种仁发育;栗瘿蜂;基因家族;共表达网络</t>
        </is>
      </c>
      <c r="L13" s="2" t="inlineStr">
        <is>
          <t>云南楚雄州永仁县6个板栗品种（'永丰1号''永仁早''永丰2号''易门2号''易门1号''Yanlong'）不同发育时期的带刺苞果实；板栗参考基因组；栗瘿蜂（Dryocosmus kuriphilus）侵染下两个板栗品种（HL、SHW）叶片4个虫瘿形成阶段的转录组</t>
        </is>
      </c>
      <c r="M13" s="2" t="inlineStr">
        <is>
          <t>HMM模型（Pfam PF00010）+HMMER结构域搜索鉴定基因；MEGA11最大似然法构建系统发育树；MEME保守motif分析；GSDS基因结构分析；PlantCARE启动子顺式元件分析；WGCNA加权共表达网络；基于FPKM的转录组表达分析；STRING蛋白互作网络预测；qRT-PCR验证（4个生物学重复）</t>
        </is>
      </c>
      <c r="N13" s="2" t="inlineStr">
        <is>
          <t>首次在板栗全基因组水平系统鉴定bHLH转录因子家族，共获得124个非冗余CmbHLH基因，分为8个亚族（I-VIII），编码蛋白长86-1241个氨基酸，分布于12条染色体和4个contig，存在串联重复；motif-1和motif-2构成典型bHLH结构域，18个基因含高度保守的motif-3。启动子富含胁迫、激素信号（茉莉酸TGACG、水杨酸TCA、ABA）和发育调控相关顺式元件。共表达网络（1045个节点、1272条边）鉴定出枢纽基因CmbHLH82和CmbHLH57。果实发育中84个CmbHLH差异表达并呈阶段特异模式；栗瘿蜂侵染下多数CmbHLH表达下调（如CmbHLH42），而CmbHLH63、CmbHLH51等上调，可能参与抗虫反应。qRT-PCR验证了5个代表基因在种子发育4个阶段的动态表达，为板栗产量与抗性分子育种奠定基础。</t>
        </is>
      </c>
      <c r="O13" s="2" t="inlineStr">
        <is>
          <t>124个非冗余CmbHLH基因；分8个亚族；蛋白长86-1241 aa，ORF 258-3723 bp；分布于12条染色体和4个contig；染色体GWHANWH00000079和00000090上分别有19和14个基因；CmbHLH68/99、CmbHLH47/52等存在串联重复；果实发育中84/124个基因差异表达（log2|FC|≥1，p&lt;0.05）；共表达网络含1045节点、1272条边（87.74%正相关）；枢纽基因CmbHLH82、CmbHLH57表达随发育下调；栗瘿蜂侵染下15个基因持续下调（含CmbHLH42、163、164）、21个基因上调（含CmbHLH63、CmbHLH51）；qRT-PCR验证5个基因在II期表达达峰</t>
        </is>
      </c>
      <c r="P13" s="2" t="inlineStr">
        <is>
          <t>鉴定出的抗栗瘿蜂响应基因（CmbHLH63、CmbHLH51）和果实发育关键基因（CmbHLH82、CmbHLH57）可作为板栗抗虫、高产分子育种的候选靶点，为抗虫品种选育和果实发育调控研究提供基因资源。</t>
        </is>
      </c>
      <c r="Q13" s="5" t="inlineStr">
        <is>
          <t>低</t>
        </is>
      </c>
      <c r="R13" s="2" t="inlineStr"/>
      <c r="S13" s="2" t="inlineStr">
        <is>
          <t>bHLH转录因子家族在植物生长发育和环境胁迫响应中发挥关键作用，但板栗（Castanea mollissima）中该家族尚缺乏系统研究。本研究对板栗bHLH基因进行全基因组鉴定，并开展系统发育、结构、motif、染色体分布和顺式元件分析；进行共表达网络分析，并分析栗瘿蜂（Dryocosmus kuriphilus）侵染下的转录组，用qRT-PCR在种子发育各阶段验证代表性基因。结果共鉴定124个非冗余bHLH基因（CmbHLHs），分为8个亚族，基因结构与motif组成（尤其是bHLH结构域的motif-1和motif-2）高度保守；染色体定位显示非随机分布与串联重复；启动子富含胁迫、激素信号和发育调控响应元件；共表达分析鉴定出CmbHLH82和CmbHLH57等枢纽基因；转录组数据显示栗瘿蜂侵染下多数CmbHLH下调，尤其是CmbHLH63和CmbHLH51；qRT-PCR证实5个基因在种子发育中的动态表达。研究结果首次全面概述板栗bHLH基因家族，突出果实发育和抗虫候选基因，为未来功能与育种研究奠定基础。</t>
        </is>
      </c>
    </row>
    <row r="14">
      <c r="A14" s="2" t="n">
        <v>13</v>
      </c>
      <c r="B14" s="2" t="inlineStr">
        <is>
          <t>013_2025_Genome-wide identification of DNA-binding with one finger transcription factor genes in Chinese .md</t>
        </is>
      </c>
      <c r="C14" s="2" t="inlineStr">
        <is>
          <t>2025</t>
        </is>
      </c>
      <c r="D14" s="2" t="inlineStr">
        <is>
          <t>英文</t>
        </is>
      </c>
      <c r="E14" s="2" t="inlineStr">
        <is>
          <t>Genome-wide identification of DNA-binding with one finger transcription factor genes in Chinese chestnut and their response to abiotic stress</t>
        </is>
      </c>
      <c r="F14" s="2" t="inlineStr">
        <is>
          <t>板栗Dof转录因子基因家族的全基因组鉴定及其对非生物胁迫的响应</t>
        </is>
      </c>
      <c r="G14" s="2" t="inlineStr">
        <is>
          <t>XiuRong Xu, Xibing Jiang, Shiming Cheng</t>
        </is>
      </c>
      <c r="H14" s="2" t="inlineStr">
        <is>
          <t>Frontiers in Plant Science, 16: 1711429</t>
        </is>
      </c>
      <c r="I14" s="2" t="inlineStr">
        <is>
          <t>基因组与基因家族</t>
        </is>
      </c>
      <c r="J14" s="2" t="inlineStr">
        <is>
          <t>Dof转录因子基因家族鉴定与非生物胁迫响应分析</t>
        </is>
      </c>
      <c r="K14" s="2" t="inlineStr">
        <is>
          <t>板栗;Dof转录因子;非生物胁迫;基因家族鉴定;表达分析;分子育种</t>
        </is>
      </c>
      <c r="L14" s="2" t="inlineStr">
        <is>
          <t>板栗参考基因组（N11-1）；生长一致的2年生板栗实生苗（遮荫0%/50%/75%/95%处理10天，45℃高温处理4/8/12 h，-15℃低温处理5/10/15 h，25℃为对照）；授粉后70、82、94天的果实种子（'永丰1号'自交及与'易门1号''永仁早'杂交组合）</t>
        </is>
      </c>
      <c r="M14" s="2" t="inlineStr">
        <is>
          <t>HMMER（Pfam PF02701）+BlastP基因家族鉴定；InterProScan结构域确认；MAFFT比对+MEGA7/FastTree系统发育；OrthoFinder直系同源分析；MCScanX+DupGenFinder共线性和基因重复类型分析；Ka/Ks计算；PlantCARE顺式元件分析；Expasy ProtParam理化性质与BUSCA亚细胞定位预测；RNA-seq（FPKM/TPM）表达分析；RT-qPCR验证（3次重复）</t>
        </is>
      </c>
      <c r="N14" s="2" t="inlineStr">
        <is>
          <t>首次鉴定板栗Dof转录因子基因家族，共25个成员（CmDof1-CmDof25），分为5个进化分支，蛋白长167-530个氨基酸（18.68-57.87 kDa），均为定位于细胞核的亲水性蛋白；基因内含子数仅0-2个（32%无内含子），进化中发生内含子丢失，重复类型以易位重复、串联重复和全基因组重复增多为特征，9对共线基因Ka/Ks均小于0.3表明受纯化选择。启动子富含光响应G-box（占全部顺式元件45.7%）、激素响应（ABRE、TGA-box）及胁迫响应（TC-rich重复、MBS）元件。果实授粉后70-94天发育中Group 3成员高表达，其中CmDof1表达量最高。RT-qPCR证实9个CmDof对遮荫、45℃高温和-15℃低温三种胁迫响应显著：Dof1、Dof6、Dof11、Dof20、Dof21在三种胁迫下均上调，Dof3和Dof17下调，为板栗耐逆分子育种提供了基因资源。</t>
        </is>
      </c>
      <c r="O14" s="2" t="inlineStr">
        <is>
          <t>25个CmDof基因；分5个亚族；蛋白167-530 aa，分子量18.68-57.87 kDa，等电点4.45-9.65；内含子0-2个（8个基因无内含子占32%、14个基因1个内含子）；分布于10条染色体（11、12号无，Chr2最多5个基因）；9对基因组内共线基因，Ka/Ks均&lt;0.3；G-box占顺式元件45.7%（20个基因含G-box，Dof4/19/24各含5个拷贝）；9个基因对三种胁迫显著响应；Dof1/6/11/20/21在遮荫、高温、低温下均上调，Dof3/Dof17下调，Dof9遮荫低温上调而高温下调；CmDof1在果实发育中表达最高；2020年中国板栗坚果产量约160万吨、占全球83.3%</t>
        </is>
      </c>
      <c r="P14" s="2" t="inlineStr">
        <is>
          <t>鉴定的耐高温、耐低温和耐遮荫Dof候选基因（如CmDof1、6、11、20、21）可作为板栗耐逆品种分子育种资源，为应对极端天气、设施遮荫环境下的板栗遗传改良提供候选靶基因。</t>
        </is>
      </c>
      <c r="Q14" s="5" t="inlineStr">
        <is>
          <t>低</t>
        </is>
      </c>
      <c r="R14" s="2" t="inlineStr"/>
      <c r="S14" s="2" t="inlineStr">
        <is>
          <t>Dof（DNA binding with one finger）蛋白是植物特有的单锌指转录因子，在植物生长发育和非生物胁迫响应中发挥重要作用，但板栗（Castanea mollissima）中的Dof基因此前尚未被研究。本研究利用生物信息学方法鉴定板栗基因组中的Dof转录因子家族，共获25个CmDof基因（CmDof1-CmDof25），并分析其理化性质、系统发育、基因结构、顺式作用元件（CRE）和表达谱。25个CmDof基因按系统发育分为5个亚族；启动子区含光调控、植物生长发育、植物激素和胁迫响应等顺式元件，以适应环境变化。RNA-seq数据分析表明CmDof基因可能参与温度胁迫、干旱胁迫和遮荫胁迫响应；9个CmDof基因对三种非生物胁迫的响应差异显著，并经RT-qPCR验证。这些数据为CmDof基因的进一步功能探索奠定基础，尤其是多个CmDof基因在耐逆植物育种中的可能应用。</t>
        </is>
      </c>
    </row>
    <row r="15">
      <c r="A15" s="2" t="n">
        <v>14</v>
      </c>
      <c r="B15" s="2" t="inlineStr">
        <is>
          <t>014_2025_Genome-Wide Identification, Evolutionary Expansion, and Expression Analyses of Aux_IAA Gene Fami.md</t>
        </is>
      </c>
      <c r="C15" s="2" t="inlineStr">
        <is>
          <t>2025</t>
        </is>
      </c>
      <c r="D15" s="2" t="inlineStr">
        <is>
          <t>英文</t>
        </is>
      </c>
      <c r="E15" s="2" t="inlineStr">
        <is>
          <t>Genome-Wide Identification, Evolutionary Expansion, and Expression Analyses of Aux/IAA Gene Family in Castanea mollissima During Seed Kernel Development</t>
        </is>
      </c>
      <c r="F15" s="2" t="inlineStr">
        <is>
          <t>板栗Aux/IAA基因家族的全基因组鉴定、进化扩张与种仁发育期表达分析</t>
        </is>
      </c>
      <c r="G15" s="2" t="inlineStr">
        <is>
          <t>Yujuan Tian, Jingmiao Huang, Jinxin Wang et al.</t>
        </is>
      </c>
      <c r="H15" s="2" t="inlineStr">
        <is>
          <t>Biology (MDPI), 14: 806</t>
        </is>
      </c>
      <c r="I15" s="2" t="inlineStr">
        <is>
          <t>基因组与基因家族</t>
        </is>
      </c>
      <c r="J15" s="2" t="inlineStr">
        <is>
          <t>Aux/IAA基因家族鉴定与种仁发育调控分析</t>
        </is>
      </c>
      <c r="K15" s="2" t="inlineStr">
        <is>
          <t>板栗;Aux/IAA基因家族;种仁发育;淀粉积累;植物激素;全基因组重复</t>
        </is>
      </c>
      <c r="L15" s="2" t="inlineStr">
        <is>
          <t>河北秦皇岛河北科技师范学院试验站5年生板栗品种'六月暴'（Liuyuebao），采集花后60、70、80、90、100天（T1-T5）种仁；公共转录组数据涉及'燕山早丰''燕龙''大板红'等品种的芽、胚珠（败育与可育）、花、种仁及干旱、冷害（-15℃）、高温（45℃）胁迫处理</t>
        </is>
      </c>
      <c r="M15" s="2" t="inlineStr">
        <is>
          <t>BLAST+HMMER（Pfam PF02309）基因鉴定；MEGA7最大似然系统发育；MCScanX共线性与Ks值分析确定重复类型；PlantCARE顺式元件分析；PlantRegMap转录因子预测；STRING蛋白互作网络；双波长法测定淀粉含量、LC-MS/MS平台测定激素（IAA、GA、SA、JA、ABA）；RNA-seq（NovaSeq 6000测序，DESeq2差异表达分析，PRJNA1269733）；WGCNA加权共表达网络；RT-qPCR验证（18S为内参）</t>
        </is>
      </c>
      <c r="N15" s="2" t="inlineStr">
        <is>
          <t>首次鉴定板栗Aux/IAA基因家族23个成员，分为4个亚族（I-IV），编码蛋白169-382个氨基酸，分布于7条染色体（1号和8号各5个）；家族扩张主要由全基因组重复（WGD来源10个基因）驱动并受纯化选择（Ka/Ks&lt;1）。启动子共含537个顺式元件，发育与激素相关元件丰富；预测167个转录因子（以ERF、MYB为主）调控其表达，CmIAA27c位于蛋白互作网络核心。以'六月暴'为材料分析花后60-100天5个时期：种仁鲜重由0.78 g增至14.39 g，总淀粉由614.96 mg/g增至693.85 mg/g（支链淀粉为直链的3-4倍），种仁大小与淀粉在花后60-70天增速最快；GA持续上升而IAA在花后60-70天由12.13 ng/g骤降至3.06 ng/g。CmIAA27a/b/c与种仁鲜重呈显著负相关且随发育持续下调，被确定为调控种仁发育的候选基因，RT-qPCR验证了转录组结果，为板栗种仁大小和淀粉积累分子调控研究提供理论基础。</t>
        </is>
      </c>
      <c r="O15" s="2" t="inlineStr">
        <is>
          <t>23个CmAux/IAA基因；分4个亚族；蛋白169-382 aa，分子量18.71-41.29 kDa；19个基因分布于7条染色体（1号、8号染色体各5个）；WGD来源10个、片段重复6个、分散重复7个；Ka/Ks&lt;1；启动子共537个顺式元件（分光响应、发育、胁迫、激素4类）；167个转录因子（34个家族）预测调控，ERF最多（25个），CmIAA15被预测调控TF最多（41个）；CmIAA27c位于PPI网络核心（与9个蛋白互作）；'六月暴'种仁花后60→100天：鲜重0.78→14.39 g，总淀粉614.96→693.85 mg/g，支链淀粉为直链3-4倍，GA 0.56→3.54 mg/g，IAA 12.13 ng/g（T1）→3.06 ng/g（T2）；CmIAA31a持续上调（FPKM 0.48→25.32，T5约为T1的52倍）；CmIAA27b在T1表达约为T5的35倍；WGCNA绿松石模块（含CmIAA27b/c）与鲜重和淀粉负相关；RT-qPCR 8个基因中7个与转录组显著一致；转录组测序161.31 Gb，T1 vs T5上调基因5032个、下调4625个</t>
        </is>
      </c>
      <c r="P15" s="2" t="inlineStr">
        <is>
          <t>明确花后60-70天是板栗种仁膨大与淀粉积累最快的关键期且受激素动态调控，可指导此期的水肥管理以促进果实增大；CmIAA27等候选基因为大果、高淀粉品种的分子育种提供靶点。</t>
        </is>
      </c>
      <c r="Q15" s="3" t="inlineStr">
        <is>
          <t>中</t>
        </is>
      </c>
      <c r="R15" s="2" t="inlineStr"/>
      <c r="S15" s="2" t="inlineStr">
        <is>
          <t>Aux/IAA是植物生长素信号通路的关键调控因子，对植物发育具有重要功能，但尚未在板栗（Castanea mollissima）基因组中被鉴定。本研究在板栗基因组中鉴定出23个Aux/IAA基因，不均匀分布于7条染色体；系统发育分析将其分为4个亚族，同一亚族成员具有相似的分子特征。共线性分析表明CmAux/IAA基因的扩张主要由全基因组重复（WGD）和纯化选择驱动。启动子区域富含发育相关和激素相关顺式元件，提示其在板栗生长和激素调控中的关键作用。随种仁成熟，种仁大小和淀粉含量呈显著上升趋势，激素水平变化显著。结合表达水平与生理指标的关联分析及WGCNA，鉴定出CmIAA27a、CmIAA27b和CmIAA27c为参与板栗种仁发育的潜在调控因子，RT-qPCR进一步验证了转录组数据的可靠性。本研究为板栗Aux/IAA基因家族进化扩张及其在种仁发育中的潜在功能提供理论依据。</t>
        </is>
      </c>
    </row>
    <row r="16">
      <c r="A16" s="2" t="n">
        <v>15</v>
      </c>
      <c r="B16" s="2" t="inlineStr">
        <is>
          <t>015_2025_Genome-wide identification, phylogeny, and expression analysis of PEBP gene family in Castanea m.md</t>
        </is>
      </c>
      <c r="C16" s="2" t="inlineStr">
        <is>
          <t>2025</t>
        </is>
      </c>
      <c r="D16" s="2" t="inlineStr">
        <is>
          <t>英文</t>
        </is>
      </c>
      <c r="E16" s="2" t="inlineStr">
        <is>
          <t>Genome-wide identification, phylogeny, and expression analysis of PEBP gene family in Castanea mollissima</t>
        </is>
      </c>
      <c r="F16" s="2" t="inlineStr">
        <is>
          <t>板栗PEBP基因家族的全基因组鉴定、系统发育与表达分析</t>
        </is>
      </c>
      <c r="G16" s="2" t="inlineStr">
        <is>
          <t>Yujuan Tian, Jinxin Wang, Xiangyu Wang et al.</t>
        </is>
      </c>
      <c r="H16" s="2" t="inlineStr">
        <is>
          <t>Frontiers in Genetics, 16: 1530910</t>
        </is>
      </c>
      <c r="I16" s="2" t="inlineStr">
        <is>
          <t>基因组与基因家族</t>
        </is>
      </c>
      <c r="J16" s="2" t="inlineStr">
        <is>
          <t>PEBP基因家族鉴定与开花、抗逆表达分析</t>
        </is>
      </c>
      <c r="K16" s="2" t="inlineStr">
        <is>
          <t>板栗;PEBP基因家族;开花调控;温度胁迫;栗瘿蜂;表达分析</t>
        </is>
      </c>
      <c r="L16" s="2" t="inlineStr">
        <is>
          <t>板栗参考基因组（N11-1）；'燕山早丰'种仁（花后60-100天5个时期，2024年采集）；板栗幼苗叶片（45℃高温4/8/12 h和-15℃低温5/10/15 h胁迫处理，25℃为对照，9株/处理）；'红栗'（感栗瘿蜂）与'Shuhe-Wuyingli'（部分抗虫）的虫瘿及叶片（4月7/10/15/26日）</t>
        </is>
      </c>
      <c r="M16" s="2" t="inlineStr">
        <is>
          <t>HMMER（Pfam PF01161）+BlastP基因鉴定；117条PEBP序列（9个物种）MEGA7最大似然系统发育；MEME保守motif分析；PlantCARE顺式元件（CRE）分析；MCScanX共线性、重复类型与Ks值分析；PlantRegMap转录因子预测；STRING蛋白互作预测；SWISS-MODEL与AlphaFold3蛋白三维结构预测；RNA-seq（FPKM）表达分析；RT-qPCR验证（18S为内参，LSD多重比较）</t>
        </is>
      </c>
      <c r="N16" s="2" t="inlineStr">
        <is>
          <t>首次鉴定板栗PEBP基因家族6个成员（CmPEBP1-CmPEBP6），分属TFL1-like（CmPEBP3/5/6）、MFT-like（CmPEBP1/4）和FT-like（CmPEBP2）三个亚族；均含4外显子3内含子，蛋白172-189个氨基酸（18.88-21.34 kDa），为胞质碱性亲水蛋白，三维结构相似。家族扩张以分散重复为主（4/6个基因）；CmPEBP3和CmPEBP5源自真双子叶共同六倍化（ECH）事件，其直系同源基因在所研究的8个物种中均保留。启动子共鉴定136个顺式元件（光响应62、激素35、环境胁迫24、发育15）；预测259个转录因子（39个家族，ERF最多38个）调控其表达，其中CmPEBP4互作转录因子最多（156个）。表达分析表明CmPEBP1随种仁成熟显著上调、CmPEBP4在花后80-90天达峰（FPKM&gt;450）；CmPEBP1在-15℃低温和45℃高温胁迫下均显著上调，并在栗瘿蜂虫瘿起始期（4月7日）显著上调，感虫品种'红栗'中表达高于部分抗虫品种，RT-qPCR验证了种仁发育和温度胁迫响应的表达模式。</t>
        </is>
      </c>
      <c r="O16" s="2" t="inlineStr">
        <is>
          <t>6个CmPEBP基因；3个亚族（TFL1-like 3个、MFT-like 2个、FT-like 1个）；蛋白172-189 aa，分子量18.88-21.34 kDa，均含4外显子3内内子；136个顺式元件（光响应62、激素响应35、环境胁迫24、发育相关15）；259个转录因子（39个家族）预测调控，ERF 38、MYB 25、WRKY 23、NAC 21、bHLH 18；CmPEBP4互作TF最多（156个），其次CmPEBP1（152个）；4/6个基因源自分散重复；CmPEBP3/CmPEBP5源自ECH事件、在8个物种中保留直系同源（CmPEBP5在梨和水稻中分别有3和4个直系同源）；CmPEBP1随种仁成熟上调（RT-qPCR显示花后100天达峰）；CmPEBP4在花后80-90天FPKM&gt;450后于100天显著下调；-15℃低温下CmPEBP1持续上调（15 h达峰）、45℃高温下12 h达峰；栗瘿蜂虫瘿起始期（4月7日）CmPEBP1显著上调，感虫'红栗'高于部分抗虫'Shuhe-Wuyingli'，虫瘿中表达高于叶片；RT-qPCR 18组比较中12组与RNA-seq显著正相关</t>
        </is>
      </c>
      <c r="P16" s="2" t="inlineStr">
        <is>
          <t>为板栗开花期调控、抗栗瘿蜂品种选育和耐温度胁迫育种提供候选基因（CmPEBP1等）；CmPEBP1在感虫与抗虫品种间的差异表达可作为栗瘿蜂抗性评价的分子参考指标。</t>
        </is>
      </c>
      <c r="Q16" s="5" t="inlineStr">
        <is>
          <t>低</t>
        </is>
      </c>
      <c r="R16" s="2" t="inlineStr">
        <is>
          <t>与046号为同一研究的不同版本（预印本/正式发表）</t>
        </is>
      </c>
      <c r="S16" s="2" t="inlineStr">
        <is>
          <t>磷脂酰乙醇胺结合蛋白（PEBP）家族在植物生长发育中发挥重要作用。板栗（Castanea mollissima）是具有重要经济价值的植物，已成为北半球重要的食物来源，但其PEBP基因此前尚未被研究。本研究在板栗基因组中鉴定出6个PEBP基因（CmPEBP1-CmPEBP6），并从理化性质、系统发育、基因结构、顺式作用元件、转录因子互作和表达谱等方面进行综合分析。6个CmPEBP基因按系统发育分为3个亚族，基因与蛋白结构高度相似；启动子共鉴定136个顺式元件，主要涉及生长发育、环境胁迫、激素响应和光响应。比较基因组分析表明CmPEBP基因扩张主要由分散重复驱动，源自真双子叶共同六倍化（ECH）事件的CmPEBP3/CmPEBP5在所有研究物种中均保留直系同源基因。共预测259个转录因子（39个家族）调控CmPEBP基因，其中CmPEBP4互作转录因子最多。RNA-seq数据分析表明CmPEBP基因可能参与板栗胚珠、芽和花发育，以及温度胁迫、干旱胁迫响应和栗瘿蜂（GWDK）侵染响应；RT-qPCR验证了其在种仁发育和温度胁迫响应中的表达。本研究为PEBP基因的深入研究提供参考和方向。</t>
        </is>
      </c>
    </row>
    <row r="17">
      <c r="A17" s="2" t="n">
        <v>16</v>
      </c>
      <c r="B17" s="2" t="inlineStr">
        <is>
          <t>016_2025_Identification and role of _i_CmLhcb2.1__i_ in regulating low-light stress resistance in Chinese.md</t>
        </is>
      </c>
      <c r="C17" s="2" t="inlineStr">
        <is>
          <t>2025</t>
        </is>
      </c>
      <c r="D17" s="2" t="inlineStr">
        <is>
          <t>英文</t>
        </is>
      </c>
      <c r="E17" s="2" t="inlineStr">
        <is>
          <t>Identification and role of CmLhcb2.1 in regulating low-light stress resistance in Chinese chestnut (Castanea mollissima)</t>
        </is>
      </c>
      <c r="F17" s="2" t="inlineStr">
        <is>
          <t>板栗CmLhcb2.1基因的鉴定及其在调控低光胁迫抗性中的作用</t>
        </is>
      </c>
      <c r="G17" s="2" t="inlineStr">
        <is>
          <t>Yang Y, Wang X, Liu J, et al.（通讯作者：Haie Zhang，河北科技师范学院）</t>
        </is>
      </c>
      <c r="H17" s="2" t="inlineStr">
        <is>
          <t>Frontiers in Plant Science, 2025, 16:1552618</t>
        </is>
      </c>
      <c r="I17" s="2" t="inlineStr">
        <is>
          <t>生理与分子机制</t>
        </is>
      </c>
      <c r="J17" s="2" t="inlineStr">
        <is>
          <t>低光胁迫响应机制（Lhca/b基因家族鉴定与CmLhcb2.1功能验证）</t>
        </is>
      </c>
      <c r="K17" s="2" t="inlineStr">
        <is>
          <t>板栗;低光胁迫;Lhca/b基因家族;CmLhcb2.1;叶绿素b合成;CmGLK转录因子</t>
        </is>
      </c>
      <c r="L17" s="2" t="inlineStr">
        <is>
          <t>'N11-1'板栗基因组数据；'燕宝'（Yanbao）两年生板栗幼苗（砧木为'燕宝'与'富宁16'杂交实生苗）叶片，设置0%、50%、75%、95%四个遮阴强度处理10天；CmLhcb2.1过表达烟草株系</t>
        </is>
      </c>
      <c r="M17" s="2" t="inlineStr">
        <is>
          <t>HMMER3全基因组基因家族鉴定；系统进化、共线性与复制类型分析（MAFFT、FastTree、MCScanX、DupGenfinder、Ka/Ks）；RNA-seq转录组测序与趋势分析；qRT-PCR；烟草遗传转化过表达；拟南芥原生质体亚细胞定位；酵母单杂交（Y1H）；双荧光素酶报告（LUC）实验</t>
        </is>
      </c>
      <c r="N17" s="2" t="inlineStr">
        <is>
          <t>研究首次在板栗全基因组层面鉴定出17个捕光叶绿素a/b结合蛋白（Lhca/b）基因家族成员，分为Lhca、Lhcb、CP24、CP26、CP29五个亚组，分布于12条染色体中的11条。'燕宝'幼苗经50%-95%遮阴处理10天后叶片出现损伤且随遮阴加重；叶片总叶绿素上升、叶绿素a下降，叶绿素b随遮阴强度递增而逐渐增加，叶色加深。转录组显示CmLhcb2.1是唯一在三种遮阴强度下均显著上调的家族成员。烟草过表达试验表明CmLhcb2.1通过促进叶绿素b合成增强低光胁迫抗性：过表达株系叶绿素b含量、电子传递速率（ETR）和光化学量子效率（ΦPSII）显著提高，MDA含量显著降低。酵母单杂与双荧光素酶试验证实核定位转录因子CmGLK特异性结合CmLhcb2.1启动子并正调控其表达。结果为板栗耐低光品种定向育种奠定理论基础。</t>
        </is>
      </c>
      <c r="O17" s="2" t="inlineStr">
        <is>
          <t>板栗基因组共17个CmLhca/b成员（Lhca 7个、Lhcb 6个、CP24与CP26各1个、CP29 2个）；基因分布于11条染色体，5号染色体最密集（5个），7号染色体无分布；蛋白长148-312个氨基酸，分子量16293.95-33813.8 Da，等电点4.68-8.57；50%/75%/95%遮阴分别产生6760/8235/11101个差异表达基因，4549个为共有差异基因；CmLhcb2.1（EVM0002044，265 aa）是唯一在三种遮阴强度下均上调的家族成员，50%遮阴时表达量最高；过表达烟草叶色更绿、叶绿素b显著增加，低光（50-95%遮阴）下ETR与ΦPSII显著高于野生型、95%遮阴下MDA含量显著低于野生型；CmGLK定位于细胞核，Y1H与LUC证实其结合CmLhcb2.1启动子并正调控表达；共表达筛选出10个与CmLhcb2.1显著正相关的转录因子（2个C2H2、3个Dof、1个GLK、1个HD-ZIP、1个MADS、1个MYB、1个MYB-related）；11对重复基因对中5对Ka/Ks&lt;1（纯化选择），家族扩张主要靠TRD与WGD</t>
        </is>
      </c>
      <c r="P17" s="2" t="inlineStr">
        <is>
          <t>板栗多分布于山区阴坡，光照不足是低产的重要原因之一。本研究揭示板栗通过上调CmLhcb2.1促进叶绿素b合成以适应低光环境，为选育耐荫高产品种提供了基因靶点，也为园址选择、合理修剪改善光照等栽培决策提供生理依据。</t>
        </is>
      </c>
      <c r="Q17" s="5" t="inlineStr">
        <is>
          <t>低</t>
        </is>
      </c>
      <c r="R17" s="2" t="inlineStr"/>
      <c r="S17" s="2" t="inlineStr">
        <is>
          <t>板栗是重要的木本粮食植物，低产是板栗产业面临的关键问题，其原因之一是板栗主要生长在山区、光照不足。本研究旨在揭示板栗耐低光胁迫的内在机制，鉴定并验证耐低光相关基因，为定向培育耐光胁迫品种奠定基础。研究在板栗基因组中鉴定出17个CmLhca/b基因成员并构建系统进化树，分为Lhca、Lhcb、CP24、CP26、CP29五个亚组；CmLhcb2.1与参与叶绿素合成的陆地棉GhLhcb2.3同支。板栗叶片在低光与正常光照下表现出表型和转录组差异：遮阴第10天叶片出现损伤，且随遮阴强度增加损伤加剧；叶片因叶绿素b含量逐渐增加而颜色变深。CmLhcb2.1在所有遮阴强度下均上调，qRT-PCR证实了低光胁迫下其上调表达。烟草过表达研究表明CmLhcb2.1通过促进叶绿素b合成增强板栗对低光胁迫的抗性。最后，酵母单杂交和双荧光素酶报告实验证实转录因子CmGLK正调控CmLhcb2.1。</t>
        </is>
      </c>
    </row>
    <row r="18">
      <c r="A18" s="2" t="n">
        <v>17</v>
      </c>
      <c r="B18" s="2" t="inlineStr">
        <is>
          <t>017_2025_Impact of Cooking Method on the Physicochemical Properties, Digestibility, and Sensory and Flavo.md</t>
        </is>
      </c>
      <c r="C18" s="2" t="inlineStr">
        <is>
          <t>2025</t>
        </is>
      </c>
      <c r="D18" s="2" t="inlineStr">
        <is>
          <t>英文</t>
        </is>
      </c>
      <c r="E18" s="2" t="inlineStr">
        <is>
          <t>Impact of Cooking Method on the Physicochemical Properties, Digestibility, and Sensory and Flavor Profiles of Chinese Chestnuts</t>
        </is>
      </c>
      <c r="F18" s="2" t="inlineStr">
        <is>
          <t>烹饪方式对板栗理化性质、消化性及感官与风味特征的影响</t>
        </is>
      </c>
      <c r="G18" s="2" t="inlineStr">
        <is>
          <t>Song L, Xu M, Zhang K, et al.（通讯作者：Pan L，南京农业大学）</t>
        </is>
      </c>
      <c r="H18" s="2" t="inlineStr">
        <is>
          <t>Foods, 2025, 14(24):4331</t>
        </is>
      </c>
      <c r="I18" s="2" t="inlineStr">
        <is>
          <t>加工与贮藏</t>
        </is>
      </c>
      <c r="J18" s="2" t="inlineStr">
        <is>
          <t>烹饪方式对果实品质、淀粉消化性与风味的影响</t>
        </is>
      </c>
      <c r="K18" s="2" t="inlineStr">
        <is>
          <t>板栗;烹饪方式;淀粉消化性;血糖生成指数;挥发性风味物质;抗氧化活性</t>
        </is>
      </c>
      <c r="L18" s="2" t="inlineStr">
        <is>
          <t>'燕宝'（Yanbao）板栗，2023年9月25日采自河北秦皇岛，淀粉27.10%、可溶性糖9.42%、蛋白10.50%、脂肪0.80%</t>
        </is>
      </c>
      <c r="M18" s="2" t="inlineStr">
        <is>
          <t>五种烹饪处理（炒制180℃60min/石英砂、糖炒180℃60min加麦芽糖、烘烤130℃40min、蒸30min、煮30min）；TPA质构与色差分析；Folin-Ciocalteu法测总多酚；DPPH/ABTS/FRAP抗氧化测定；Englyst与Infogest体外消化模型测RDS/SDS/RS/GI；SEM微观结构观察；电子鼻与GC-IMS挥发性成分分析（VIP、ROAV筛选关键风味物）；10人感官定量描述分析</t>
        </is>
      </c>
      <c r="N18" s="2" t="inlineStr">
        <is>
          <t>以'燕宝'板栗为材料，系统比较炒制、糖炒、烘烤、蒸制、煮制五种烹饪方式对品质的影响。干热处理（炒、糖炒、烤）因失水使硬度和咀嚼性升高，湿热处理（蒸、煮）因吸水和淀粉糊化质地更软、颜色较亮；煮制板栗硬度最低（33.17N），生栗最高（143.72N）。所有烹饪方式均显著降低抗性淀粉（RS）、提高RDS与SDS，蒸制板栗RDS最高（29.95%）、RS最低（37.58%），血糖生成指数（GI）也最高（85.42），烤制GI（74.78）显著低于其他熟制方式，生栗最低（52.49）。糖炒样品多酚含量（121.02 mg GAE/kg）与DPPH、ABTS、FRAP抗氧化活性均为最高。GC-IMS共鉴定34种挥发性物质，8种为关键风味标志物；感官评价显示糖炒板栗焦糖香与甜味突出、整体接受度最高，烘烤呈浓郁坚果香。</t>
        </is>
      </c>
      <c r="O18" s="2" t="inlineStr">
        <is>
          <t>硬度：生栗143.72N&gt;烤89.13&gt;糖炒84.75&gt;炒79.68&gt;蒸38.39&gt;煮33.17N；GI：生栗52.49最低、蒸85.42最高、煮83.26、炒80.34、糖炒78.09、烤74.78（烤显著低于其他熟制）；RS降幅：炒制与煮制50.82-54.17%，炒/糖炒/烤37.16-47.18%；蒸制RDS最高29.95%、RS最低37.58%；总多酚：熟后68.53-121.02 mg GAE/kg（生栗最低），糖炒最高121.02；糖炒抗氧化最强（DPPH 218.91、ABTS 170.74、FRAP 494.51 µmol Trolox/kg）；GC-IMS鉴定34种挥发性物质（醛8、醇11、酯4、酮5、酸1、杂环4等），醛类烘烤后最高3297.48 µg/kg（生栗804.53），醇类煮制后最高4230.03 µg/kg，酯类蒸后最低163.92 µg/kg（生栗2193.32）；8种关键风味化合物（VIP&gt;1且ROAV&gt;1）：己醛、(E)-2-己烯醛、3-甲基丁醛、3-甲基丁酸乙酯、乙酸乙酯、2-戊酮、3-羟基-2-丁酮、2-戊基呋喃；感官整体喜好：糖炒&gt;烤&gt;炒&gt;蒸&gt;煮&gt;生栗</t>
        </is>
      </c>
      <c r="P18" s="2" t="inlineStr">
        <is>
          <t>为板栗加工与家庭食用提供直接指导：追求软糯口感宜蒸煮，控糖人群可选烤制（熟制中GI最低），兼顾风味与抗氧化首选糖炒；糖炒突显焦糖甜香、消费者接受度最高，可为板栗加工产品开发和工艺优化提供科学依据。</t>
        </is>
      </c>
      <c r="Q18" s="4" t="inlineStr">
        <is>
          <t>高</t>
        </is>
      </c>
      <c r="R18" s="2" t="inlineStr"/>
      <c r="S18" s="2" t="inlineStr">
        <is>
          <t>评价了烹饪方式（炒制、糖炒、烘烤、蒸制、煮制）对板栗理化与感官性质的影响。干热处理（炒制、糖炒、烘烤）因水分流失使硬度和咀嚼性增加；湿热处理（蒸制和煮制）因吸水和淀粉糊化使质地更软、颜色更亮。炒制和煮制样品抗性淀粉含量降低50.82-54.17%，而炒制、糖炒和烘烤样品降低37.16-47.18%，血糖生成指数随之相应变化。糖炒样品的多酚含量和抗氧化活性最高。共鉴定出34种挥发性化合物，其中仅8种在嗅觉分析中起关键作用（己醛、(E)-2-己烯醛、3-甲基丁醛、3-甲基丁酸乙酯、乙酸乙酯、2-戊酮、3-羟基-2-丁酮和2-戊基呋喃）。结合感官评价，糖炒能突出板栗的焦糖香和甜味，烘烤带来浓郁的坚果香气，糖炒是更受欢迎的方式。</t>
        </is>
      </c>
    </row>
    <row r="19">
      <c r="A19" s="2" t="n">
        <v>18</v>
      </c>
      <c r="B19" s="2" t="inlineStr">
        <is>
          <t>018_2025_The in vitro anti-inflammatory and antioxidant activities of the extracts from leaves of Castane.md</t>
        </is>
      </c>
      <c r="C19" s="2" t="inlineStr">
        <is>
          <t>2025</t>
        </is>
      </c>
      <c r="D19" s="2" t="inlineStr">
        <is>
          <t>其他</t>
        </is>
      </c>
      <c r="E19" s="2" t="inlineStr">
        <is>
          <t>HOẠT TÍNH KHÁNG VIÊM VÀ CHỐNG OXY HÓA IN VITRO CỦA CAO CHIẾT TỪ LÁ CÂY DẺ TRÙNG KHÁNH (CASTANEA MOLLISSIMA) Ở VIỆT NAM / The in vitro anti-inflammatory and antioxidant activities of the extracts from leaves of Castanea mollissima in Vietnam</t>
        </is>
      </c>
      <c r="F19" s="2" t="inlineStr">
        <is>
          <t>越南板栗叶提取物体外抗炎与抗氧化活性研究</t>
        </is>
      </c>
      <c r="G19" s="2" t="inlineStr">
        <is>
          <t>Dam Thi Bich Hanh, Ngu Truong Nhan, Do Tien Lam, et al.（通讯作者：Ngu Truong Nhan）</t>
        </is>
      </c>
      <c r="H19" s="2" t="inlineStr">
        <is>
          <t>Tạp chí Khoa học và Công nghệ Trường Đại học Công nghiệp Hà Nội（河内工业大学科学技术期刊，HaUI Journal of Science and Technology）, 2025, 61(3):186-190</t>
        </is>
      </c>
      <c r="I19" s="2" t="inlineStr">
        <is>
          <t>生物活性与功效</t>
        </is>
      </c>
      <c r="J19" s="2" t="inlineStr">
        <is>
          <t>板栗叶提取物抗炎与抗氧化活性</t>
        </is>
      </c>
      <c r="K19" s="2" t="inlineStr">
        <is>
          <t>板栗叶;提取物;抗炎活性;抗氧化活性;DPPH;NO抑制</t>
        </is>
      </c>
      <c r="L19" s="2" t="inlineStr">
        <is>
          <t>越南高平省重庆县（Trùng Khánh/Trung Khanh）枝维乡2023年3月采集的板栗叶（鲜样3.5kg、干样2.9kg）；RAW264.7小鼠巨噬细胞</t>
        </is>
      </c>
      <c r="M19" s="2" t="inlineStr">
        <is>
          <t>甲醇浸提得总浸膏（TK），依次经正己烷、乙酸乙酯萃取分为TKH、TKE、TKM三个分部；RAW264.7巨噬细胞Griess法测定NO生成抑制（抗炎活性）；DPPH自由基清除法测定抗氧化活性</t>
        </is>
      </c>
      <c r="N19" s="2" t="inlineStr">
        <is>
          <t>以越南高平省重庆县特产板栗（Dẻ Trùng Khánh，获地理标志保护）叶片为材料，首次实验评价其提取物的体外抗炎与抗氧化活性。2.9kg干叶甲醇提取得总浸膏（TK，53.0g），分部得正己烷部（TKH，46.0g）、乙酸乙酯部（TKE，40.0g）、甲醇部（TKM，62.0g）。抗炎活性以RAW264.7巨噬细胞NO抑制评估：总浸膏IC50为20.2 µg/mL且无细胞毒性（细胞存活率79.41%），乙酸乙酯部活性最佳（IC50 18.5 µg/mL，存活率74.98%），正己烷部次之（IC50 50.8 µg/mL），甲醇部几乎无活性。DPPH抗氧化实验中TKE最强（SC50 20.65 µg/mL），TK次之（36.12 µg/mL），TKH较弱（51.35 µg/mL），TKM无活性（SC50&gt;100）。表明活性成分主要富集于弱极性和中等极性部位，为板栗叶功能成分开发及传统药用（治哮喘、骨折、疖肿、中耳炎）提供科学依据。</t>
        </is>
      </c>
      <c r="O19" s="2" t="inlineStr">
        <is>
          <t>2.9kg干叶得TK 53.0g、TKH 46.0g、TKE 40.0g、TKM 62.0g；抗炎（RAW264.7细胞NO抑制）：TK IC50=20.2 µg/mL（细胞存活率79.41%）、TKE IC50=18.5 µg/mL（74.98%）、TKH IC50=50.8 µg/mL（72.31%）、TKM几乎无活性；阳性对照Cardamonin IC50=9.7 µM；抗氧化（DPPH）：TKE SC50=20.65 µg/mL（清除率76.28%）、TK SC50=36.12 µg/mL（59.30%）、TKH SC50=51.35 µg/mL（60.41%）、TKM SC50&gt;100 µg/mL（30.21%）；阳性对照抗坏血酸SC50=11.54 µg/mL；活性集中于弱极性与中极性部位（TKH、TKE）</t>
        </is>
      </c>
      <c r="P19" s="2" t="inlineStr">
        <is>
          <t>板栗叶是传统药材（民间用于治哮喘、骨折、疖肿、中耳炎），其弱极性部位具显著抗炎抗氧化活性且无细胞毒性，提示板栗叶可作为天然抗炎抗氧化功能原料开发，也为栗园修剪废弃叶片的资源化增值利用提供方向。</t>
        </is>
      </c>
      <c r="Q19" s="3" t="inlineStr">
        <is>
          <t>中</t>
        </is>
      </c>
      <c r="R19" s="2" t="inlineStr"/>
      <c r="S19" s="2" t="inlineStr">
        <is>
          <t>通过RAW264.7巨噬细胞NO生成抑制实验和DPPH法，评价越南高平省重庆县板栗叶总浸膏（TK）及其正己烷（TKH）、乙酸乙酯（TKE）、甲醇（TKM）分部提取物的抗炎与抗氧化活性。结果表明总浸膏（TK）表现出良好的体外抗炎与抗氧化活性，SC50为36.12 µg/mL、IC50为20.2 µg/mL；分部提取物中乙酸乙酯部（TKE）活性最佳，SC50为20.65 µg/mL、IC50为18.5 µg/mL，其余分部活性居中或较弱。</t>
        </is>
      </c>
    </row>
    <row r="20">
      <c r="A20" s="2" t="n">
        <v>19</v>
      </c>
      <c r="B20" s="2" t="inlineStr">
        <is>
          <t>019_2025_The in Vitro Anti-Inflammatory and Antioxidant Activitites of the Bark Extracts from Castanea Mo.md</t>
        </is>
      </c>
      <c r="C20" s="2" t="inlineStr">
        <is>
          <t>2025</t>
        </is>
      </c>
      <c r="D20" s="2" t="inlineStr">
        <is>
          <t>英文</t>
        </is>
      </c>
      <c r="E20" s="2" t="inlineStr">
        <is>
          <t>The in Vitro Anti-Inflammatory and Antioxidant Activities of the Bark Extracts from Castanea Mollissima in Vietnam</t>
        </is>
      </c>
      <c r="F20" s="2" t="inlineStr">
        <is>
          <t>越南板栗树皮提取物体外抗炎与抗氧化活性研究</t>
        </is>
      </c>
      <c r="G20" s="2" t="inlineStr">
        <is>
          <t>Dam Thi Bich Hanh, Do Tien Lam, Dang Thi Thuy My, Ngu Truong Nhan（通讯作者：Ngu Truong Nhan）</t>
        </is>
      </c>
      <c r="H20" s="2" t="inlineStr">
        <is>
          <t>International Journal of Pharma Growth Research Review, 2025, 2(2):28-32</t>
        </is>
      </c>
      <c r="I20" s="2" t="inlineStr">
        <is>
          <t>生物活性与功效</t>
        </is>
      </c>
      <c r="J20" s="2" t="inlineStr">
        <is>
          <t>板栗树皮提取物抗炎与抗氧化活性</t>
        </is>
      </c>
      <c r="K20" s="2" t="inlineStr">
        <is>
          <t>板栗树皮;提取物;抗炎活性;抗氧化活性;DPPH;NO抑制</t>
        </is>
      </c>
      <c r="L20" s="2" t="inlineStr">
        <is>
          <t>越南高平省重庆县枝维乡2023年3月采集的板栗树皮（干样3.9kg）；RAW264.7小鼠巨噬细胞</t>
        </is>
      </c>
      <c r="M20" s="2" t="inlineStr">
        <is>
          <t>甲醇室温浸提得总浸膏（TK），经正己烷、乙酸乙酯分部得TKH、TKE、TKM；RAW264.7巨噬细胞Griess法测NO生成抑制（抗炎）；DPPH自由基清除法测抗氧化</t>
        </is>
      </c>
      <c r="N20" s="2" t="inlineStr">
        <is>
          <t>首次评价越南高平省重庆县板栗树皮提取物的体外抗炎与抗氧化活性。3.9kg干树皮甲醇提取得总浸膏（TK，167g），分部得正己烷部（TKH，58g）、乙酸乙酯部（TKE，45g）、甲醇部（TKM，43g）。RAW264.7巨噬细胞NO抑制实验显示总浸膏抗炎活性强（IC50约19.6-20.2 µg/mL）且无细胞毒性（细胞存活率79.41%）；乙酸乙酯部活性最佳（IC50约17.4-18.5 µg/mL），正己烷部较弱（IC50 50.8 µg/mL），甲醇部几乎无活性。DPPH抗氧化实验中乙酸乙酯部最强（SC50约10.6-21.7 µg/mL），总浸膏次之（约29.1-36.1 µg/mL），活性同样集中于弱极性和中极性部位。结果与同组板栗叶研究相互印证，为板栗树皮药用成分开发和副产物资源化利用指明方向。</t>
        </is>
      </c>
      <c r="O20" s="2" t="inlineStr">
        <is>
          <t>3.9kg干树皮得TK 167g、TKH 58g、TKE 45g、TKM 43g；抗炎：TK IC50约19.6-20.2 µg/mL（无细胞毒性，存活率79.41%）、TKE最佳（摘要IC50=17.4 µg/mL、正文表列18.5 µg/mL）、TKH IC50=50.8 µg/mL、TKM几乎无活性；抗氧化（DPPH）：TKE最强（正文SC50=10.62 µg/mL、摘要21.67 µg/mL）、TK SC50约29.1-36.1 µg/mL（摘要29.13、正文36.12）、TKH约41.4-51.4 µg/mL、TKM SC50&gt;100 µg/mL；阳性对照抗坏血酸SC50=11.54 µg/mL、Cardamonin IC50=9.7 µM；注：该文摘要与正文数值略有出入且部分表格与同组叶提取物论文重复，但总体结论一致（TKE活性最佳、活性集中于低/中极性部位）</t>
        </is>
      </c>
      <c r="P20" s="2" t="inlineStr">
        <is>
          <t>板栗树皮是通常被废弃的副产物，其弱极性提取物具显著抗炎抗氧化活性且无细胞毒性，为板栗修剪、采伐树皮残枝的资源化利用和天然抗炎抗氧化产品开发提供依据，也契合传统医学中用树皮治疗炎症性疾病的经验。</t>
        </is>
      </c>
      <c r="Q20" s="3" t="inlineStr">
        <is>
          <t>中</t>
        </is>
      </c>
      <c r="R20" s="2" t="inlineStr"/>
      <c r="S20" s="2" t="inlineStr">
        <is>
          <t>通过RAW264.7巨噬细胞NO生成抑制实验与DPPH法，评价越南板栗树皮总浸膏（TK）及正己烷（TKH）、乙酸乙酯（TKE）、甲醇（TKM）分部提取物的抗炎与抗氧化活性。结果表明总浸膏（TK）具有良好的体外抗炎与抗氧化活性，SC50为29.13 µg/mL、IC50为19.6 µg/mL；乙酸乙酯分部（TKE）活性最佳，SC50为21.67 µg/mL、IC50为17.4 µg/mL，其余分部活性居中或较弱。上述结果为越南板栗化学成分及抗炎抗氧化活性的深入研究指明方向。</t>
        </is>
      </c>
    </row>
    <row r="21">
      <c r="A21" s="2" t="n">
        <v>20</v>
      </c>
      <c r="B21" s="2" t="inlineStr">
        <is>
          <t>020_2025_The MADS-box gene CmAP1 promotes flowering and petal development in Chinese chestnut (Castanea m.md</t>
        </is>
      </c>
      <c r="C21" s="2" t="inlineStr">
        <is>
          <t>2025</t>
        </is>
      </c>
      <c r="D21" s="2" t="inlineStr">
        <is>
          <t>英文</t>
        </is>
      </c>
      <c r="E21" s="2" t="inlineStr">
        <is>
          <t>The MADS-box gene CmAP1 promotes flowering and petal development in Chinese chestnut (Castanea mollissima)</t>
        </is>
      </c>
      <c r="F21" s="2" t="inlineStr">
        <is>
          <t>板栗MADS-box基因CmAP1促进开花与花瓣发育</t>
        </is>
      </c>
      <c r="G21" s="2" t="inlineStr">
        <is>
          <t>Cheng Y, Cheng L, Hu G, et al.（通讯作者：Lan Y，北京市农林科学院林业果树研究所）</t>
        </is>
      </c>
      <c r="H21" s="2" t="inlineStr">
        <is>
          <t>BMC Plant Biology, 2025, 25:1035</t>
        </is>
      </c>
      <c r="I21" s="2" t="inlineStr">
        <is>
          <t>生理与分子机制</t>
        </is>
      </c>
      <c r="J21" s="2" t="inlineStr">
        <is>
          <t>开花与花器官发育的分子调控（CmAP1基因功能）</t>
        </is>
      </c>
      <c r="K21" s="2" t="inlineStr">
        <is>
          <t>板栗;CmAP1;MADS-box;开花调控;花瓣发育;花器官发育</t>
        </is>
      </c>
      <c r="L21" s="2" t="inlineStr">
        <is>
          <t>板栗品种'燕红'（Yanhong，北京市农林科学院密云板栗高效栽培示范园）；拟南芥野生型Col与ap1-11突变体；板栗花序与花组织（2020年4月29日至5月26日S1-S5五个花发育时期）</t>
        </is>
      </c>
      <c r="M21" s="2" t="inlineStr">
        <is>
          <t>CDS与启动子克隆；系统进化分析（MEGAX邻接法）；RT-qPCR时空表达分析；启动子顺式作用元件预测（PlantCARE）；pCmAP1::GUS组织化学染色；mRNA原位杂交；拟南芥原生质体亚细胞定位；拟南芥野生型与ap1-11背景异源表达（35S::CmAP1）及花期、花器官表型分析</t>
        </is>
      </c>
      <c r="N21" s="2" t="inlineStr">
        <is>
          <t>从板栗中克隆了A类开花基因CmAP1（MADS-box家族）。基因全长11726 bp，含8个外显子和7个内含子，CDS为741 bp、编码246个氨基酸，蛋白定位于细胞核，含典型MADS-MEF2-like和K-box结构域，系统进化上与杨树AP1最近。2124 bp启动子含生长素响应（TGA）、茉莉酸响应（TGACG）和WRKY结合（W-box）等顺式元件。RT-qPCR与原位杂交显示CmAP1主要在雄花和雌花中表达（雄花高于雌花），在花序分生组织、花原基及萼片、花瓣、雄蕊、心皮原基中均有表达。异源表达CmAP1使拟南芥野生型和ap1-11突变体均提前开花，并恢复ap1-11突变体缺失的花瓣（第二轮花器官），同时上调AtAP1和AtSEP1-4表达。结果表明CmAP1具有保守的促开花和花瓣发育调控功能，为揭示板栗成花调控机制及通过开花调控提高产量提供依据。</t>
        </is>
      </c>
      <c r="O21" s="2" t="inlineStr">
        <is>
          <t>CmAP1基因全长11726 bp（8外显子、7内含子），CDS 741 bp编码246个氨基酸，5'-UTR 117 bp、3'-UTR 257 bp；启动子2124 bp含TGA（生长素）、TGACG（茉莉酸）、W-box（WRKY）及ABRE、G-box等顺式元件；板栗基因组共有53个MADS-box基因，AP1同源基因仅1个（无CAL类似重复基因）；CmAP1在雄花中表达高于雌花，主要表达于花序分生组织和各类花器官原基；拟南芥中异源表达使野生型与ap1-11均早花（6个转基因株系OE1-3、C1-C3均早于对照），并恢复ap1-11的花瓣缺失表型；表达CmAP1后AtAP1及AtSEP1-4表达上调；系统进化上与杨树AP1最近、其次为麻疯树JcAP1</t>
        </is>
      </c>
      <c r="P21" s="2" t="inlineStr">
        <is>
          <t>开花量直接影响板栗坚果产量。明确CmAP1促进开花与花瓣发育的功能，为通过生长素、茉莉酸等激素和栽培措施调控花芽分化、选育成花良好的高产品种提供理论依据，对幼树早花早果调控也有参考价值。</t>
        </is>
      </c>
      <c r="Q21" s="5" t="inlineStr">
        <is>
          <t>低</t>
        </is>
      </c>
      <c r="R21" s="2" t="inlineStr">
        <is>
          <t>与033号为同一研究的不同版本（预印本/正式发表）</t>
        </is>
      </c>
      <c r="S21" s="2" t="inlineStr">
        <is>
          <t>板栗是重要的经济和生态木本坚果作物，开花是坚果产量的基础。MADS-box基因APETALA1（AP1）在多种植物的花起始和花器官发育中起关键作用，但其在板栗中的功能尚不清楚。本研究克隆了CmAP1的编码序列（CDS）和启动子并分析其功能。CmAP1的CDS长741 bp，编码246个氨基酸蛋白，亚细胞定位显示其位于细胞核。CmAP1启动子驱动的GUS在拟南芥转基因植株的幼苗、叶缘、花瓣和心皮中表达；RNA原位杂交表明花发育早期CmAP1主要在花序分生组织、花原基、萼片原基、花瓣原基、雄蕊原基和心皮原基中表达；启动子中鉴定出生长素响应元件（TGA）、茉莉酸响应元件（TGACG）和WRKY结合位点（W-box）。在野生型和ap1-11拟南芥中异源表达CmAP1导致早花，且CmAP1的表达恢复了ap1-11突变体缺失的花瓣轮；AtAP1、AtSEP1、AtSEP2、AtSEP3和AtSEP4在CmAP1表达植株中上调。结果表明CmAP1促进开花并在花瓣发育中起关键作用，为揭示板栗开花和花发育调控机制、提高板栗产量提供实践基础。</t>
        </is>
      </c>
    </row>
    <row r="22">
      <c r="A22" s="2" t="n">
        <v>21</v>
      </c>
      <c r="B22" s="2" t="inlineStr">
        <is>
          <t>021_2025_TỔNG HỢP NANO ZINC OXIDE BẰNG PHƯƠNG PHÁP THUỶ NHIỆT VÀ ẢNH HƯỞNG CỦA NÓ ĐẾN KHẢ NĂNG NẢY MẦM HẠ.md</t>
        </is>
      </c>
      <c r="C22" s="2" t="inlineStr">
        <is>
          <t>2025</t>
        </is>
      </c>
      <c r="D22" s="2" t="inlineStr">
        <is>
          <t>其他</t>
        </is>
      </c>
      <c r="E22" s="2" t="inlineStr">
        <is>
          <t>TỔNG HỢP NANO ZINC OXIDE BẰNG PHƯƠNG PHÁP THUỶ NHIỆT VÀ ẢNH HƯỞNG CỦA NÓ ĐẾN KHẢ NĂNG NẢY MẦM HẠT GIỐNG CÂY DẺ (Castanea mollissima)</t>
        </is>
      </c>
      <c r="F22" s="2" t="inlineStr">
        <is>
          <t>水热法合成纳米氧化锌及其对板栗种子萌发能力的影响</t>
        </is>
      </c>
      <c r="G22" s="2" t="inlineStr">
        <is>
          <t>Nguyễn Giang Nam, Nguyễn Thanh Bình, Trần Thị Khánh Ly, Nguyễn Mậu Thành</t>
        </is>
      </c>
      <c r="H22" s="2" t="inlineStr">
        <is>
          <t>Tạp chí Khoa học Đại học Huế: Khoa học Tự nhiên（顺化大学自然科学学报）, Vol.134, No.1A: 31-41</t>
        </is>
      </c>
      <c r="I22" s="2" t="inlineStr">
        <is>
          <t>栽培与土壤管理</t>
        </is>
      </c>
      <c r="J22" s="2" t="inlineStr">
        <is>
          <t>播种育苗与纳米锌肥浸种</t>
        </is>
      </c>
      <c r="K22" s="2" t="inlineStr">
        <is>
          <t>纳米氧化锌；水热法；种子萌发；板栗育苗；浸种</t>
        </is>
      </c>
      <c r="L22" s="2" t="inlineStr">
        <is>
          <t>越南广平省布泽县（Bố Trạch）丘陵山区健康无病虫害母树上采集的板栗(Castanea mollissima)种子（符合越南国家标准TCVN 13276:2021林木种子标准）</t>
        </is>
      </c>
      <c r="M22" s="2" t="inlineStr">
        <is>
          <t>水热法合成纳米ZnO（ZnSO4·7H2O+NaOH，180℃水热10h）；FT-IR、XRD、SEM、UV-vis表征材料结构；浸种试验设0/500/1000/2000 ppm共4个处理（4%次氯酸钠表面消毒，浸种24h），完全随机设计，3次重复，每处理40粒种子，第14/16/18天调查发芽率与根长</t>
        </is>
      </c>
      <c r="N22" s="2" t="inlineStr">
        <is>
          <t>以NaOH和七水硫酸锌为原料，经180℃水热10小时合成了球形纳米氧化锌颗粒，粒径11.379~23.729 nm，平均晶粒尺寸19.055±1.285 nm，UV-vis最大吸收峰位于392 nm，XRD证实为高纯六方纤锌矿结构。将纳米ZnO用于板栗种子浸种萌发试验，结果表明1000 ppm为最适浓度：第18天发芽率达85.0%，比清水对照（65.0%）提高20个百分点；根长23.18±2.15 mm，显著长于对照（16.73±2.82 mm）。当浓度升至2000 ppm及以上时，发芽和根伸长均受到抑制。机理上，小粒径纳米ZnO比表面积大，利于种子吸收水分和养分，促进打破休眠、酶活化等萌发相关生化过程，且ZnO具有抗菌抗真菌特性，可保护种子免受环境病原侵害，从而提高发芽率。</t>
        </is>
      </c>
      <c r="O22" s="2" t="inlineStr">
        <is>
          <t>纳米ZnO粒径11.379–23.729 nm，平均晶粒19.055±1.285 nm；UV-vis最大吸收峰392 nm；最适浸种浓度1000 ppm；第18天发芽率：对照65.0%、500 ppm 77.5%、1000 ppm 85.0%、2000 ppm 80.0%；第18天根长：对照16.73±2.82 mm、500 ppm 20.03±2.56 mm、1000 ppm 23.18±2.15 mm、2000 ppm 21.06±2.94 mm；2000 ppm及以上开始抑制发芽和根生长</t>
        </is>
      </c>
      <c r="P22" s="2" t="inlineStr">
        <is>
          <t>为板栗播种育苗提供纳米锌肥浸种新技术：1000 ppm纳米ZnO悬浮液浸种24小时可显著提高发芽率（+20个百分点）和促进根系伸长，加快育苗进度；同时提示浓度不可超过2000 ppm，否则产生抑制作用。</t>
        </is>
      </c>
      <c r="Q22" s="3" t="inlineStr">
        <is>
          <t>中</t>
        </is>
      </c>
      <c r="R22" s="2" t="inlineStr"/>
      <c r="S22" s="2" t="inlineStr">
        <is>
          <t>大量使用化肥给环境带来诸多不良影响，在此背景下，纳米技术为可持续、环境友好的农业提供了新方向。氧化锌纳米颗粒（ZnO）广泛应用于医药、电子等领域，多项研究表明其可视为一种潜在的纳米肥料；在播种早期（即浸种）使用该材料已被证明能有效提高种子发芽率、促进幼苗和植株生长并改善植物健康指标。本研究采用水热法合成纳米ZnO，并用傅里叶变换红外光谱（FT-IR）、X射线衍射（XRD）、扫描电镜（SEM）和UV-vis光谱分析其结构。结果表明纳米ZnO呈球形，直径11.379~23.729 nm。将这些纳米颗粒用于板栗(Castanea mollissima)种子的萌发与促根试验，实验显示其显著改善了板栗种子的发芽率和根系生长。</t>
        </is>
      </c>
    </row>
    <row r="23">
      <c r="A23" s="2" t="n">
        <v>22</v>
      </c>
      <c r="B23" s="2" t="inlineStr">
        <is>
          <t>022_2024__i_CmWOX2__i_ modulates somatic embryogenesis in Chinese chestnut (_i_Castanea mollissima__i_ Bl.md</t>
        </is>
      </c>
      <c r="C23" s="2" t="inlineStr">
        <is>
          <t>2024</t>
        </is>
      </c>
      <c r="D23" s="2" t="inlineStr">
        <is>
          <t>英文</t>
        </is>
      </c>
      <c r="E23" s="2" t="inlineStr">
        <is>
          <t>CmWOX2 modulates somatic embryogenesis in Chinese chestnut (Castanea mollissima Blume)</t>
        </is>
      </c>
      <c r="F23" s="2" t="inlineStr">
        <is>
          <t>CmWOX2调控板栗体细胞胚胎发生</t>
        </is>
      </c>
      <c r="G23" s="2" t="inlineStr">
        <is>
          <t>Zhilin Sun, Bing Liu, Yuzhen Tian, et al.（通讯作者 Qingqin Cao）</t>
        </is>
      </c>
      <c r="H23" s="2" t="inlineStr">
        <is>
          <t>Plant Biotechnology 41(4): 375-385</t>
        </is>
      </c>
      <c r="I23" s="2" t="inlineStr">
        <is>
          <t>育种与遗传资源</t>
        </is>
      </c>
      <c r="J23" s="2" t="inlineStr">
        <is>
          <t>体细胞胚胎发生与WOX转录因子基因功能</t>
        </is>
      </c>
      <c r="K23" s="2" t="inlineStr">
        <is>
          <t>板栗；CmWOX2；体细胞胚胎发生；WUS基因家族；遗传转化</t>
        </is>
      </c>
      <c r="L23" s="2" t="inlineStr">
        <is>
          <t>板栗品种'燕山红栗'(Yanshanhongli)、'久夹种'(Jiujiazhong)、'京暑红'(Jingshuhong)、'怀黄'(Huaihuang)、'山东红栗'(Shandonghongli)的未成熟胚与胚性愈伤（以'燕山红栗'胚性愈伤为遗传转化受体）；板栗基因组HBY-2版本（castaneadb.net）</t>
        </is>
      </c>
      <c r="M23" s="2" t="inlineStr">
        <is>
          <t>HMM（homeodomain结构域PF00046）搜索鉴定WOX基因家族；MEGA-X邻接法（1000次自举）系统进化分析；MEME保守基序与TBtools基因结构、染色体定位分析；pK7GWIWG2(II) RR-277载体构建CmWOX2-RNAi、Super1300载体构建35S::CmWOX2-eGFP过表达，农杆菌GV3101介导转化胚性愈伤（潮霉素筛选）；qRT-PCR表达分析（CmActin内参）；烟草瞬时表达亚细胞定位；荧光体视显微镜与Image J测量0.1 g愈伤的体胚数量和直径</t>
        </is>
      </c>
      <c r="N23" s="2" t="inlineStr">
        <is>
          <t>在板栗基因组中鉴定出11个WOX基因（WUS进化枝7个、中间枝2个、古老枝2个），确定Cm07G01544为AtWOX2同源基因并命名为CmWOX2。CmWOX2是体胚发生过程中WUS枝中唯一被检出的高表达基因，在胚性愈伤期表达最高。RNAi使其表达下降50%后，0.1 g愈伤产生的体胚数显著少于对照；过表达（表达量提高17倍）虽未显著改变体胚数量（1033.35±154.94 vs 713.69±322.25，不显著），但使体胚平均直径由0.812±0.072 mm显著增大至1.624±0.163 mm。在品种间比较中，高体胚发生能力品种'京暑红''怀黄'的CmWOX2表达量比低能力品种'久夹种''山东红栗'至少高3倍。结果表明CmWOX2在板栗体胚发生初期起关键调控作用，是提升体胚发生效率和克隆繁殖效率的潜在分子靶点。</t>
        </is>
      </c>
      <c r="O23" s="2" t="inlineStr">
        <is>
          <t>板栗基因组共11个WOX基因，分布于1、2、5、6、7、8、11号染色体；CmWOX2(Cm07G01544) CDS长744 bp、编码247个氨基酸，定位于细胞核；RNAi使表达量降低50%，体胚数显著减少；过表达系表达量为对照17倍，体胚直径1.624±0.163 mm vs 对照0.812±0.072 mm（p&lt;0.05），0.1 g愈伤体胚数1033.35±154.94 vs 713.69±322.25（差异不显著）；'京暑红''怀黄'CmWOX2表达量≥'久夹种''山东红栗'3倍；E1培养基为WPM盐+109 mg/L Nitsch维生素+1 g/L酪蛋白+3%蔗糖+1.8 µM 2,4-D+1.1 µM 6-BA，pH 5.5</t>
        </is>
      </c>
      <c r="P23" s="2" t="inlineStr">
        <is>
          <t>CmWOX2可作为提高板栗体胚发生效率的基因靶点，服务于优良品种克隆快繁和转基因育种平台建设；'京暑红''怀黄'体胚发生能力强，宜作为建立体胚无性系的外植体品种来源。</t>
        </is>
      </c>
      <c r="Q23" s="5" t="inlineStr">
        <is>
          <t>低</t>
        </is>
      </c>
      <c r="R23" s="2" t="inlineStr"/>
      <c r="S23" s="2" t="inlineStr">
        <is>
          <t>板栗(Castanea mollissima Blume)以卓越的坚果品质和对病害及环境胁迫的强抗性著称，但其体细胞胚胎发生过程缓慢，是应用中的重要瓶颈。本研究聚焦WOX2基因——WUS相关同源框（WOX）转录因子家族成员，该基因在拟南芥体胚发育中起关键作用。我们在板栗中鉴定并研究了WOX2同源基因CmWOX2在体胚发生中的功能。分析发现该物种共有7个WUS基因家族成员，其中CmWOX2在愈伤中特异性上调。实验表明，抑制CmWOX2表达会减少体胚产生，而过表达则扩大胚性愈伤直径。值得注意的是，CmWOX2在'京暑红''怀黄'等高体胚发生能力品种中的表达量是'久夹种''山东红栗'等低能力品种的3倍。这些结果凸显了CmWOX2在板栗体胚发生初期的关键作用，表明其可作为提升该物种体胚发生能力的潜在靶点。</t>
        </is>
      </c>
    </row>
    <row r="24">
      <c r="A24" s="2" t="n">
        <v>23</v>
      </c>
      <c r="B24" s="2" t="inlineStr">
        <is>
          <t>023_2024_A _i_CsWRKY48__i_ Gene from Tea Plants Intercropped with Chinese Chestnut Plays an Important Rol.md</t>
        </is>
      </c>
      <c r="C24" s="2" t="inlineStr">
        <is>
          <t>2024</t>
        </is>
      </c>
      <c r="D24" s="2" t="inlineStr">
        <is>
          <t>英文</t>
        </is>
      </c>
      <c r="E24" s="2" t="inlineStr">
        <is>
          <t>A CsWRKY48 Gene from Tea Plants Intercropped with Chinese Chestnut Plays an Important Role in Resistance to Biotic and Abiotic Stresses</t>
        </is>
      </c>
      <c r="F24" s="2" t="inlineStr">
        <is>
          <t>板栗茶树间作系统中的茶树CsWRKY48基因在生物和非生物胁迫抗性中发挥重要作用</t>
        </is>
      </c>
      <c r="G24" s="2" t="inlineStr">
        <is>
          <t>Jianzhao Wang, Yikai Gong, Meng Li, et al.（共同第一作者王建钊、龚一凯；通讯作者 Tian Wu）</t>
        </is>
      </c>
      <c r="H24" s="2" t="inlineStr">
        <is>
          <t>International Journal of Molecular Sciences 25(24): 13526</t>
        </is>
      </c>
      <c r="I24" s="2" t="inlineStr">
        <is>
          <t>生理与分子机制</t>
        </is>
      </c>
      <c r="J24" s="2" t="inlineStr">
        <is>
          <t>板栗-茶树间作抗逆基因功能</t>
        </is>
      </c>
      <c r="K24" s="2" t="inlineStr">
        <is>
          <t>板栗茶树间作；CsWRKY48；毛状体；抗寒性；抗虫性</t>
        </is>
      </c>
      <c r="L24" s="2" t="inlineStr">
        <is>
          <t>昆明西南林业大学植物园板栗茶树间作茶园的'云抗10号'茶树(Camellia sinensis)嫩叶（土壤pH 5.0-5.5）；烟草(Nicotiana tabacum)异源遗传转化体系；蚜虫</t>
        </is>
      </c>
      <c r="M24" s="2" t="inlineStr">
        <is>
          <t>板栗茶树间作与纯茶园茶树转录组比较筛选；qPCR表达分析（低温4℃ 0-8 h、MJ/SA/GA3/ETH/ABA/PEG/NaCl处理）；基因克隆（ORF 960 bp）与启动子克隆（2037 bp）及顺式作用元件预测；农杆菌GV3101介导pCAMBIA1300-CsWRKY48烟草遗传转化并筛选高表达株系；4℃低温处理（0/2/6/12/24 h）与蚜虫饲喂胁迫（0/2/6/12/24 h）；相对电导率、MDA、可溶性蛋白/糖、脯氨酸及POD/SOD/CAT活性测定；抗性基因qRT-PCR</t>
        </is>
      </c>
      <c r="N24" s="2" t="inlineStr">
        <is>
          <t>基于板栗茶树间作茶园与纯茶园茶树的转录组比较，发现WRKY基因在间作模式下显著上调。本研究克隆了茶树候选基因CsWRKY48（ORF 960 bp，编码317个氨基酸，含典型WRKYGQK结构域），其在4℃低温处理1小时达到表达峰值（为0小时的2.32倍），并受GA3、PEG和NaCl诱导（分别为对照的5.74、5.68、6.13倍）。在烟草中异源过表达后，转基因株系茎部毛状体数量和长度约为对照3倍，可溶性蛋白、可溶性糖和脯氨酸等渗透调节物质显著升高，POD/SOD/CAT保护酶活性增强，抗寒基因NtCBF1/NtDREB2B和抗虫基因NtChiA/NtTD显著上调，对4℃低温和蚜虫取食均表现出更强抗性。结果证实间作模式下茶树抗性确实提升，并揭示了一个由WRKY转录因子介导、与CBF/ERF/MYC/MYB等因子互作的抗性调控网络。</t>
        </is>
      </c>
      <c r="O24" s="2" t="inlineStr">
        <is>
          <t>4℃处理1 h时WRKY48表达达峰值（0 h的2.32倍）；GA3/PEG/NaCl诱导表达5.74/5.68/6.13倍；烟草转化效率95%，高表达株系OE4/OE16/OE40表达量分别为对照的997.67、1350.74、1473.32倍；转基因烟草毛状体20-30个/视野、平均长2.72 mm，对照约10个/视野、0.79 mm（约3倍）；4℃处理12 h后对照萎蔫黄化而转基因株保持直立；可溶性蛋白升高1.87/1.05/1.23倍、可溶性糖1.82/1.71/1.78倍、脯氨酸1.04/1.15/1.21倍；茶树光饱和点30000-50000 LX，间作使茶园温度维持在适温20-30℃；间作茶园中CsERF109、CsChia1、CsDREB2A、CsbHLH147分别上调2.24、2.54、1.91、1.86倍</t>
        </is>
      </c>
      <c r="P24" s="2" t="inlineStr">
        <is>
          <t>板栗-茶树间作可为茶园提供适度遮阴（维持茶树适温20-30℃），防夏季高温热害、冬季低温冻害，落叶覆盖保温，并通过光照与化感作用激活茶树抗性基因，提升茶树抗逆与品质，是值得推广的林下复合种植模式。</t>
        </is>
      </c>
      <c r="Q24" s="3" t="inlineStr">
        <is>
          <t>中</t>
        </is>
      </c>
      <c r="R24" s="2" t="inlineStr"/>
      <c r="S24" s="2" t="inlineStr">
        <is>
          <t>茶树是重要的园艺作物，其品质和产量常受各种不良环境因素威胁。大量研究表明，茶树与其他植物间作可显著改善产品品质。板栗茶树间作是按一定株距和栽培方式在同一地块种植两个物种的农业种植模式。基于板栗茶树间作茶园与纯茶园茶树的比较转录组分析，发现间作模式下WRKY基因表达水平显著上调。本研究克隆了候选基因CsWRKY48，并通过异源转化在烟草中验证其功能。转基因烟草株系的保护酶活性和渗透调节物质含量显著增加，毛状体长度和密度提高，对低温和蚜虫均表现出增强的抗性。进一步分析表明，CsWRKY48转录因子可能与CBF、ERF、MYC、MYB等其他调控因子互作，从而增强茶树对生物和非生物胁迫的抗性。这些发现不仅证实了间作模式下茶树抗性的提升，也揭示了一个由WRKY转录因子介导的潜在调控网络。</t>
        </is>
      </c>
    </row>
    <row r="25">
      <c r="A25" s="2" t="n">
        <v>24</v>
      </c>
      <c r="B25" s="2" t="inlineStr">
        <is>
          <t>024_2024_Anatomical Changes during Chestnut (_i_Castanea mollissima__i_ BL.) Gall Development Stages Indu.md</t>
        </is>
      </c>
      <c r="C25" s="2" t="inlineStr">
        <is>
          <t>2024</t>
        </is>
      </c>
      <c r="D25" s="2" t="inlineStr">
        <is>
          <t>英文</t>
        </is>
      </c>
      <c r="E25" s="2" t="inlineStr">
        <is>
          <t>Anatomical Changes during Chestnut (Castanea mollissima BL.) Gall Development Stages Induced by the Gall Wasp Dryocosmus kuriphilus (Hymenoptera: Cynipidae)</t>
        </is>
      </c>
      <c r="F25" s="2" t="inlineStr">
        <is>
          <t>栗瘿蜂（膜翅目：瘿蜂科）诱导板栗虫瘿发育各阶段的解剖学变化</t>
        </is>
      </c>
      <c r="G25" s="2" t="inlineStr">
        <is>
          <t>Cheng Wang, Wu Wang, Shijie Zhang, et al.（通讯作者 Cancan Zhu）</t>
        </is>
      </c>
      <c r="H25" s="2" t="inlineStr">
        <is>
          <t>Plants 13(13): 1766</t>
        </is>
      </c>
      <c r="I25" s="2" t="inlineStr">
        <is>
          <t>病虫害防治</t>
        </is>
      </c>
      <c r="J25" s="2" t="inlineStr">
        <is>
          <t>栗瘿蜂虫瘿发育解剖学与发生规律</t>
        </is>
      </c>
      <c r="K25" s="2" t="inlineStr">
        <is>
          <t>栗瘿蜂；虫瘿发育；瘿的形态特征；瘿的解剖结构；活性氧</t>
        </is>
      </c>
      <c r="L25" s="2" t="inlineStr">
        <is>
          <t>江苏省南京市板栗种质资源圃中8年生感虫板栗品种'红油栗'(Hongyouli, HL)枝叶上的栗瘿蜂(Dryocosmus kuriphilus)虫瘿；2023年3月15日栗芽萌动起每隔7天取样，每个发育阶段从6株同龄树上采集30个虫瘿，随机取15个用于内部结构观察；虫瘿分为起始(A)、生长(B)、分化(C)、成熟(D)、木质化(E)5个阶段</t>
        </is>
      </c>
      <c r="M25" s="2" t="inlineStr">
        <is>
          <t>体视显微镜观察虫瘿外部形态与纵剖结构；石蜡切片番红O-固绿染色观察木质化与细胞组织分布；过碘酸-雪夫(PAS)染色显示碳水化合物（营养物质）分布；冰冻切片ROS荧光染色（DAPI标记细胞核、CY3显示ROS阳性）检测活性氧积累；扫描电镜(SEM)观察瘿表皮、瘿室及薄壁细胞超微结构</t>
        </is>
      </c>
      <c r="N25" s="2" t="inlineStr">
        <is>
          <t>栗瘿蜂偏好在新梢、嫩叶和芽等未分化分生组织产卵，虫瘿形成与寄主组织幼嫩程度相关。虫瘿由表皮层、保护层、薄壁组织层和瘿室构成，瘿室长1.0-3.2 mm、宽1.0-2.0 mm；紧贴瘿室的营养层细胞中淀粉酶、蛋白酶、氨基肽酶和磷脂酶活性高于正常细胞，是幼虫主要取食部位。发育过程中，表皮层与保护层在生长期(B)较起始期显著增厚，薄壁组织层在分化期(C)达到最厚，成熟期(D)瘿室最大并开始木质化变红，木质化期(E)维管束受损阻断水分运输、瘿室萎缩干枯。ROS染色显示栗瘿蜂侵害削弱了寄主ROS清除能力，ROS自分化期起在细胞壁大量区域化积累并在成熟期爆发至峰值，诱导细胞壁过氧化损伤、寄主抗性下降，从而促进虫瘿发育。成虫羽化后在瘿表形成羽化孔，受害枝条随后枯死。</t>
        </is>
      </c>
      <c r="O25" s="2" t="inlineStr">
        <is>
          <t>栗瘿蜂一年发生1代、营孤雌生殖，成虫6-7月在新梢芽内产卵，初孵幼虫在芽内越冬；危害可致减产高达75%；瘿室长1.0-3.2 mm、宽1.0-2.0 mm；卵长0.15-0.17 mm、宽0.10-0.20 mm，成熟幼虫体长2.5-3.25 mm；表皮层和保护层厚度在B期较A期显著增加，薄壁层C期最厚，瘿室D期最大；ROS在C期大量区域化积累、D期爆发达峰值、E期渐降；瘿外层厚壁组织（石细胞）数量与寄生性天敌攻击成功率呈负相关（Cooper &amp; Rieske）</t>
        </is>
      </c>
      <c r="P25" s="2" t="inlineStr">
        <is>
          <t>明确了栗瘿蜂6-7月产卵、幼虫在芽内越冬的发生规律，为把握剪除虫瘿和药剂防治关键期提供依据；虫瘿保护层与天敌寄生成功率的关系及ROS机制可为抗瘿蜂品种选育和寄生蜂生物防治提供理论基础。</t>
        </is>
      </c>
      <c r="Q25" s="4" t="inlineStr">
        <is>
          <t>高</t>
        </is>
      </c>
      <c r="R25" s="2" t="inlineStr"/>
      <c r="S25" s="2" t="inlineStr">
        <is>
          <t>本研究探讨了栗瘿蜂(Dryocosmus kuriphilus Yasumatsu, GWDK)侵染板栗(Castanea mollissima BL.)后，虫瘿在起始、生长、分化、成熟和木质化五个阶段的幼虫发育及形态解剖学变化。收集五个发育阶段的板栗虫瘿，用解剖体视显微镜观察瘿的结构特征，用染色和扫描电镜技术分析瘿的解剖变化。栗瘿蜂在嫩叶和芽上产卵；其寄生使植物组织形成由薄壁组织层、保护层和表皮层构成的瘿室。GWDK侵染引起的瘿结构发育导致寄主活性氧(ROS)清除能力减弱，ROS积累引起细胞壁过氧化，造成结构损伤、寄主抗性下降，而薄壁组织层表现出明显的营养供给功能和显著增厚。保护层和表皮层厚度在各生长阶段变化显著。栗瘿蜂产卵诱导寄主原有组织发生改变，幼嫩组织最利于虫瘿形成，这与寄主组织成熟度相关。瘿内部结构的差异主要源于营养供给，外部结构差异则源于防御特性。本研究为理解栗瘿蜂诱导板栗虫瘿的发育过程奠定了基础，有助于揭示昆虫侵染与植物生理之间复杂的相互作用。</t>
        </is>
      </c>
    </row>
    <row r="26">
      <c r="A26" s="2" t="n">
        <v>25</v>
      </c>
      <c r="B26" s="2" t="inlineStr">
        <is>
          <t>025_2024_Ceratocystis acaciivora = Ceratocystis manginecans and Chalaropsis sp. 1 on Chinese chestnut (Ca.md</t>
        </is>
      </c>
      <c r="C26" s="2" t="inlineStr">
        <is>
          <t>2024</t>
        </is>
      </c>
      <c r="D26" s="2" t="inlineStr">
        <is>
          <t>英文</t>
        </is>
      </c>
      <c r="E26" s="2" t="inlineStr">
        <is>
          <t>Ceratocystis acaciivora = Ceratocystis manginecans and Chalaropsis sp. 1 on Chinese chestnut (Castanea mollissima) in China</t>
        </is>
      </c>
      <c r="F26" s="2" t="inlineStr">
        <is>
          <t>中国板栗上的刺球壳菌Ceratocystis acaciivora（=C. manginecans）与Chalaropsis sp. 1</t>
        </is>
      </c>
      <c r="G26" s="2" t="inlineStr">
        <is>
          <t>Xue Li, Yanmei Liu, Shuqi He, et al.</t>
        </is>
      </c>
      <c r="H26" s="2" t="inlineStr">
        <is>
          <t>Research Square预印本（DOI: 10.21203/rs.3.rs-4205640/v1，2024年4月11日发布）</t>
        </is>
      </c>
      <c r="I26" s="2" t="inlineStr">
        <is>
          <t>病虫害防治</t>
        </is>
      </c>
      <c r="J26" s="2" t="inlineStr">
        <is>
          <t>板栗采后黑腐病病原鉴定</t>
        </is>
      </c>
      <c r="K26" s="2" t="inlineStr">
        <is>
          <t>板栗；黑腐病；致病性；Ceratocystis acaciivora；Chalaropsis</t>
        </is>
      </c>
      <c r="L26" s="2" t="inlineStr">
        <is>
          <t>2020年9月云南省昆明市农贸市场发现的板栗采后黑腐病果；经胡萝卜片诱骗培养分离获得8个单孢菌株（cam1-cam8），其中cam1-cam4为Ceratocystis、cam7-cam8为Chalaropsis</t>
        </is>
      </c>
      <c r="M26" s="2" t="inlineStr">
        <is>
          <t>胡萝卜片诱骗培养法分离病原（病组织夹于新鲜胡萝卜片间培养5-10天，待子囊壳和孢子团长出后转PDA并单孢纯化）；PDA培养形态学观察（每特征测量30个值）；60S、LSU、MCM7三基因片段扩增测序，MAFFT 7比对，MEGA 11最大似然法（GTR模型，1000次自举）系统发育分析；有伤接种致病性测定（孢子悬液1.0×10^6个/mL，每菌株接种5个果实，25℃保湿培养5天）及柯赫氏法则验证</t>
        </is>
      </c>
      <c r="N26" s="2" t="inlineStr">
        <is>
          <t>从昆明采后板栗黑腐病果上分离鉴定出两种真菌：3个菌株为Ceratocystis acaciivora（=C. manginecans，二者已合并为异名），2个菌株为Chalaropsis sp. 1，依据形态学特征和60S、LSU、MCM7基因序列联合分析确定。致病性测定表明两种真菌接种板栗果实5天内均在接种点周围形成0.6-0.9 cm黑腐病斑：接种C. acaciivora的孔口产生大量子囊壳和子囊孢子团，接种Chalaropsis sp. 1的孔口产生大量黑色霉层；从发病果再分离获得相同病原，无菌水对照无症状，柯赫氏法则成立。这是首次报道C. acaciivora和Chalaropsis sp. 1危害中国板栗，也是首次在中国发现Ceratocystis及其无性型与板栗的关联。该病影响板栗品质和风味，需采取适宜的管理策略防止真菌传播。</t>
        </is>
      </c>
      <c r="O26" s="2" t="inlineStr">
        <is>
          <t>2020年9月昆明首次发现板栗采后黑腐病；8个单孢菌株中3个鉴定为C. acaciivora（=C. manginecans）、2个为Chalaropsis sp. 1；C. acaciivora子囊壳108.37-191.23×143.10-218.07 µm、颈长399.26-571.15 µm、子囊孢子帽形4.35-6.87×3.52-4.66 µm；Chalaropsis sp. 1菌落10天直径5.5-6.3 cm、内生分生孢子10.22-19.24×4.81-6.99 µm、厚壁孢子11.68-19.75×10.29-16.67 µm；接种浓度1.0×10^6孢子/mL，5天病斑0.6-0.9 cm；病原主要经甲虫蛀孔侵染果实；文中提及中国板栗出口量占世界板栗出口总量80%以上</t>
        </is>
      </c>
      <c r="P26" s="2" t="inlineStr">
        <is>
          <t>明确了板栗采后黑腐病的两种新病原及其经甲虫伤口侵染的途径，提示采收贮运前应剔除虫蛀果和伤口果、避免机械损伤并控制贮藏湿度，田间注意防治蛀果甲虫，可降低贮藏期黑腐损失、保障板栗商品价值。</t>
        </is>
      </c>
      <c r="Q26" s="4" t="inlineStr">
        <is>
          <t>高</t>
        </is>
      </c>
      <c r="R26" s="2" t="inlineStr"/>
      <c r="S26" s="2" t="inlineStr">
        <is>
          <t>2020年9月，在云南省昆明市的农贸市场发现了板栗采后黑腐病。基于形态学特征和60S、LSU、MCM7基因序列，3个菌株鉴定为Ceratocystis acaciivora（=Ceratocystis manginecans），2个菌株鉴定为Chalaropsis sp. 1。致病性测定和柯赫氏法则验证表明，这两种真菌均为板栗黑腐病的病原。这是首次报道C. acaciivora和Chalaropsis sp. 1危害中国板栗。</t>
        </is>
      </c>
    </row>
    <row r="27">
      <c r="A27" s="2" t="n">
        <v>26</v>
      </c>
      <c r="B27" s="2" t="inlineStr">
        <is>
          <t>026_2024_Comprehensive evaluation of drought tolerance of six Chinese chestnut varieties (clones) based o.md</t>
        </is>
      </c>
      <c r="C27" s="2" t="inlineStr">
        <is>
          <t>2024</t>
        </is>
      </c>
      <c r="D27" s="2" t="inlineStr">
        <is>
          <t>英文</t>
        </is>
      </c>
      <c r="E27" s="2" t="inlineStr">
        <is>
          <t>Comprehensive evaluation of drought tolerance of six Chinese chestnut varieties (clones) based on flavonoids and other physiological indexes</t>
        </is>
      </c>
      <c r="F27" s="2" t="inlineStr">
        <is>
          <t>基于黄酮及其他生理指标的六个板栗品种（优系）抗旱性综合评价</t>
        </is>
      </c>
      <c r="G27" s="2" t="inlineStr">
        <is>
          <t>Zeng Yangjuan, Guo Chunlei, Wang Meng, et al.</t>
        </is>
      </c>
      <c r="H27" s="2" t="inlineStr">
        <is>
          <t>Scientific Reports, 2024, 14:14511</t>
        </is>
      </c>
      <c r="I27" s="2" t="inlineStr">
        <is>
          <t>生理与分子机制</t>
        </is>
      </c>
      <c r="J27" s="2" t="inlineStr">
        <is>
          <t>抗旱性综合评价（生理生化指标与黄酮）</t>
        </is>
      </c>
      <c r="K27" s="2" t="inlineStr">
        <is>
          <t>板栗;抗旱性;黄酮;主成分分析;隶属函数法;生理指标</t>
        </is>
      </c>
      <c r="L27" s="2" t="inlineStr">
        <is>
          <t>6个板栗品种（优系）嫁接树：迁西42(QX42)、青龙45(QL45)、燕山早丰(YSZF)、燕紫(YZ)、燕秋(YQ)、燕龙(YL)；河北昌黎石各庄板栗种质资源圃，2019年4月嫁接于5年生燕龙砧木，2021年7月自然干旱处理（停止浇水至土壤相对含水量约30%，即重度干旱）后采集成熟叶片</t>
        </is>
      </c>
      <c r="M27" s="2" t="inlineStr">
        <is>
          <t>自然干旱胁迫处理；测定15项生理生化指标（SOD、POD、CAT、APX活性，甜菜碱、可溶性糖、可溶性蛋白、脯氨酸、叶绿素、黄酮（HPLC法）、黄酮醇、MDA、超氧阴离子及其产生速率、H2O2）；相关分析、主成分分析（确定权重）、隶属函数法计算抗旱度量值D并排序</t>
        </is>
      </c>
      <c r="N27" s="2" t="inlineStr">
        <is>
          <t>在土壤相对含水量约30%（重度干旱）的自然干旱条件下，测定迁西42、青龙45、燕山早丰、燕紫、燕秋、燕龙6个板栗嫁接树的15项抗旱相关生理生化指标，结合主成分分析和隶属函数法综合评价。指标反映抗旱性的能力排序为：SOD活性、APX活性、黄酮含量、CAT活性、脯氨酸、可溶性糖、POD活性、甜菜碱、黄酮醇、H2O2、可溶性蛋白、超氧阴离子含量及产生速率、MDA、叶绿素；前4个主成分累计贡献率91.24%；黄酮和黄酮醇含量可作为板栗抗旱性综合评价指标。6个品种抗旱性综合排序为青龙45&gt;迁西42&gt;燕秋&gt;燕紫&gt;燕山早丰&gt;燕龙，为干旱地区板栗抗旱品种选择与栽培提供了理论依据。</t>
        </is>
      </c>
      <c r="O27" s="2" t="inlineStr">
        <is>
          <t>抗旱性排序：青龙45(QL45)&gt;迁西42(QX42)&gt;燕秋(YQ)&gt;燕紫(YZ)&gt;燕山早丰(YSZF)&gt;燕龙(YL)；隶属函数抗旱度量值：QL45最高1.333、QX42为1.090、YQ为0.910、YZ为0.780、YSZF为0.773、YL最低0.168；前4主成分贡献率32.36%、24.88%、21.11%、12.88%，累计91.24%；QL45叶片黄酮含量337.70 mg/g，为YL的1.47倍；YQ黄酮醇含量23596.79 ng/g为各品种最高；QL45的APX活性68.92 μmol/min/g FW，为YL的1.65倍；QX42的SOD活性最高（538.46 U/g FW）；YZ甜菜碱含量为YL的4.41倍；YQ的POD活性为QX42的2.58倍；YL叶绿素含量最高2.40 mg/g；土壤相对含水量30%-40%为农业干旱等级中的重度干旱（GB/T 32136-2015）</t>
        </is>
      </c>
      <c r="P27" s="2" t="inlineStr">
        <is>
          <t>为干旱缺水山区板栗建园提供品种选择依据：青龙45、迁西42抗旱性强，可优先在旱薄地发展；燕龙抗旱性最弱，应避免在干旱瘠薄地栽植。黄酮含量可作为品种抗旱性快速评价指标。</t>
        </is>
      </c>
      <c r="Q27" s="4" t="inlineStr">
        <is>
          <t>高</t>
        </is>
      </c>
      <c r="R27" s="2" t="inlineStr"/>
      <c r="S27" s="2" t="inlineStr">
        <is>
          <t>黄酮类是重要次生代谢物，可减轻紫外伤害并抵御生物与非生物胁迫，以黄酮含量为核心指标综合评价板栗抗旱性意义重大。本研究测定了迁西42(QX42)、青龙45(QL45)、燕山早丰(YSZF)、燕紫(YZ)、燕秋(YQ)、燕龙(YL)6个板栗品种（优系）嫁接树在自然干旱胁迫下的黄酮含量及抗旱相关生理生化指标，综合分析其抗旱能力。结果表明，各指标反映抗旱性的能力排序为：SOD活性、APX活性、黄酮含量、CAT活性、脯氨酸含量、可溶性糖含量、POD活性、甜菜碱含量、黄酮醇含量、H2O2含量、可溶性蛋白含量、超氧阴离子含量、超氧阴离子产生速率、MDA含量、叶绿素含量。主成分分析表明黄酮和黄酮醇含量可作为板栗抗旱性综合评价指标；6个品种抗旱性综合排序为QL45&gt;QX42&gt;YQ&gt;YZ&gt;YSZF&gt;YL。</t>
        </is>
      </c>
    </row>
    <row r="28">
      <c r="A28" s="2" t="n">
        <v>27</v>
      </c>
      <c r="B28" s="2" t="inlineStr">
        <is>
          <t>027_2024_Cultivation of Chinese chestnut Castanea mollissima in natural forests in Shaqlawah-Erbil.md</t>
        </is>
      </c>
      <c r="C28" s="2" t="inlineStr">
        <is>
          <t>2024</t>
        </is>
      </c>
      <c r="D28" s="2" t="inlineStr">
        <is>
          <t>英文</t>
        </is>
      </c>
      <c r="E28" s="2" t="inlineStr">
        <is>
          <t>Cultivation of Chinese chestnut Castanea mollissima in natural forests in Shaqlawah-Erbil</t>
        </is>
      </c>
      <c r="F28" s="2" t="inlineStr">
        <is>
          <t>中国板栗在伊拉克埃尔比勒沙克拉瓦天然林中的栽培</t>
        </is>
      </c>
      <c r="G28" s="2" t="inlineStr">
        <is>
          <t>Lak Zana Abubakr</t>
        </is>
      </c>
      <c r="H28" s="2" t="inlineStr">
        <is>
          <t>Kirkuk University Journal for Agricultural Sciences</t>
        </is>
      </c>
      <c r="I28" s="2" t="inlineStr">
        <is>
          <t>栽培与土壤管理</t>
        </is>
      </c>
      <c r="J28" s="2" t="inlineStr">
        <is>
          <t>育苗基质选择与幼树施肥灌溉</t>
        </is>
      </c>
      <c r="K28" s="2" t="inlineStr">
        <is>
          <t>板栗;引种栽培;NPK施肥;泥炭藓;灌溉;混交林</t>
        </is>
      </c>
      <c r="L28" s="2" t="inlineStr">
        <is>
          <t>中国板栗种子与幼苗；试验一：2022年4-9月伊拉克埃尔比勒Gerdarasha农学院温室育苗（泥炭藓、壤土+NPK 500 ppm、沙土对照3种基质）；试验二：2022年10月-2023年10月沙克拉瓦Safeen山北坡（海拔900 m，年降水约900 mm，砂质黏壤土pH 7.85）大田定植（NPK+灌溉处理与对照）</t>
        </is>
      </c>
      <c r="M28" s="2" t="inlineStr">
        <is>
          <t>RCBD单因素（基质）和RCBD因子（灌溉×施肥）设计；种子5℃冷藏2个月打破休眠后袋播；测定苗高、地径、根长、地上和根生物量（60℃烘干48h称重）；凯氏定氮法测叶全氮、比色法测磷钾；SPSS双因素方差分析</t>
        </is>
      </c>
      <c r="N28" s="2" t="inlineStr">
        <is>
          <t>该研究在伊拉克埃尔比勒沙克拉瓦地区分两阶段评估有机肥（泥炭藓）、NPK化肥及灌溉对中国板栗幼苗生长的影响。温室育苗6个月：泥炭藓处理苗高65 cm、地径2.8 mm、根长42.3 cm、地上/根生物量6.7/6.6 g，均显著优于壤土+NPK（54 cm、2.3 mm、3.7 g）和沙土对照（26 cm、1.1 mm、1.5 g）；叶片氮磷钾含量也以泥炭藓最高。田间定植12个月：每株施NPK 20 g并每周灌溉7 L，苗高69.7 cm显著高于对照62.3 cm，年苗高增长8.9 cm。结果表明中国板栗可在伊拉克北部山地林区栽培，建植头几年应配合NPK施肥与灌溉直至根系充分发育；推荐与当地栎树营造混交林以促进种间互利。</t>
        </is>
      </c>
      <c r="O28" s="2" t="inlineStr">
        <is>
          <t>种子5℃冷藏2个月打破胚休眠；温室育苗：苗高泥炭藓65 cm、NPK 54 cm、沙土对照26 cm；地径2.8/2.3/1.1 mm；根长42.3/25/10.7 cm；地上生物量6.7/3.9/1.5 g；根生物量6.6/3.7/1.1 g（均p≤0.05）；叶片氮含量泥炭藓532.3 ppm、NPK 439.5 ppm、对照87.5 ppm，磷64.33/36.50/4.75 ppm，钾115/98.5/17.33 ppm；田间：NPK 20 g/株+每周灌溉7 L，苗高NPK 69.7 cm vs 对照62.3 cm，地径2.8 vs 2.1 mm；灌溉处理苗高68.3 cm vs 对照62.3 cm；年苗高增长8.9 cm、地径增长0.4 mm；田间叶片氮NPK 524.25 vs 对照132.66 ppm；泥炭藓含全氮0.75%、有机质40.32%；田间土壤pH 7.85、砂质黏壤土，年降水约900 mm（7-9月仅5-15 mm）；推荐与Quercus aegilops、Q. infectoria、Q. libani混交</t>
        </is>
      </c>
      <c r="P28" s="2" t="inlineStr">
        <is>
          <t>证实泥炭藓基质育苗优于化肥基质，板栗育苗宜用富含有机质的疏松基质；幼树定植头几年每株施NPK 20 g并每周灌水7 L可显著促进生长；干旱区建园可考虑与栎类混交提高林分稳定性和资源利用效率。</t>
        </is>
      </c>
      <c r="Q28" s="3" t="inlineStr">
        <is>
          <t>中</t>
        </is>
      </c>
      <c r="R28" s="2" t="inlineStr"/>
      <c r="S28" s="2" t="inlineStr">
        <is>
          <t>混交林能改善土壤肥力、养分循环、碳储量并最终提高生物量生产，还具有风险管理和抵御病虫害等效益，也可作为培育优质木材的营林系统。本研究比较有机肥（泥炭藓）与NPK化肥对中国板栗生长性状的影响，并在沙克拉瓦当地气候下检验NPK与灌溉处理对板栗苗生长的作用。第一阶段2022年5-9月在农学院温室育苗，第二阶段2022年10月至2023年10月在沙克拉瓦大田定植，采用RCBD因子设计，以泥炭藓、壤土+NPK 500 ppm为处理，沙土为对照。结果表明：肥料对苗高影响极显著（NPK 54 cm、泥炭藓65 cm、对照26 cm），地径泥炭藓2.8 mm、NPK 2.3 mm、对照1.1 mm；地上生物量NPK 3.9 g、泥炭藓6.7 g、对照1.5 g，根生物量对照1.1 g、NPK 3.7 g、泥炭藓6.6 g；叶片氮含量对照87.5 ppm、NPK 439.5 ppm、泥炭藓532.3 ppm。田间试验中NPK处理苗高69.7 cm显著高于对照62.3 cm，地径2.8 mm高于对照2.1 mm；灌溉处理苗高68.3 cm高于对照。总体而言，中国板栗可在伊拉克北部山地林区种植，建植头几年施NPK并灌溉直至根系充分发育以利用深层土壤水分养分；建议与Safeen山天然林中的栎树混交以实现种间促进。</t>
        </is>
      </c>
    </row>
    <row r="29">
      <c r="A29" s="2" t="n">
        <v>28</v>
      </c>
      <c r="B29" s="2" t="inlineStr">
        <is>
          <t>028_2024_Genome-wide identification, evolution, and expression analysis of the NAC gene family in chestnu.md</t>
        </is>
      </c>
      <c r="C29" s="2" t="inlineStr">
        <is>
          <t>2024</t>
        </is>
      </c>
      <c r="D29" s="2" t="inlineStr">
        <is>
          <t>英文</t>
        </is>
      </c>
      <c r="E29" s="2" t="inlineStr">
        <is>
          <t>Genome-wide identification, evolution, and expression analysis of the NAC gene family in chestnut (Castanea mollissima)</t>
        </is>
      </c>
      <c r="F29" s="2" t="inlineStr">
        <is>
          <t>板栗NAC基因家族的全基因组鉴定、进化与表达分析</t>
        </is>
      </c>
      <c r="G29" s="2" t="inlineStr">
        <is>
          <t>Cao Fei, Guo Chunlei, Wang Xiangyu, et al.</t>
        </is>
      </c>
      <c r="H29" s="2" t="inlineStr">
        <is>
          <t>Frontiers in Genetics, 2024, 15:1337578</t>
        </is>
      </c>
      <c r="I29" s="2" t="inlineStr">
        <is>
          <t>基因组与基因家族</t>
        </is>
      </c>
      <c r="J29" s="2" t="inlineStr">
        <is>
          <t>NAC转录因子基因家族鉴定与表达分析</t>
        </is>
      </c>
      <c r="K29" s="2" t="inlineStr">
        <is>
          <t>板栗;NAC转录因子;基因家族;全基因组鉴定;基因复制;表达分析</t>
        </is>
      </c>
      <c r="L29" s="2" t="inlineStr">
        <is>
          <t>板栗基因组（N11-1，来自Castanea Genome Database）；拟南芥94个NAC蛋白作参考；燕龙板栗花后70、82、94天坚果（qRT-PCR验证）；公共RNA-seq数据涵盖板栗花后20、25、30天芽，花后70、82、94天坚果，7月15/20/25日可育/败育胚珠</t>
        </is>
      </c>
      <c r="M29" s="2" t="inlineStr">
        <is>
          <t>BLAST与HMMER（HMM, PF02365）筛选NAC基因；MEGA 7.0构建最大似然/邻接法系统进化树；MEME预测保守基序；MCScanX共线性分析并计算Ka/Ks；PlantCARE预测启动子顺式作用元件；Kallisto定量RNA-seq（TPM）；qRT-PCR（2-ΔΔCT法）；拟南芥原生质体GFP融合亚细胞定位</t>
        </is>
      </c>
      <c r="N29" s="2" t="inlineStr">
        <is>
          <t>本研究首次在板栗全基因组层面系统鉴定NAC转录因子家族，共获得115个CmNAC基因，系统进化分析将其分为16个亚组；多数基因含1-10个内含子，69.57%的蛋白定位于细胞核。启动子顺式元件分析发现大量生长素（31个基因含TGA元件）、赤霉素（56个基因）响应元件及胚乳表达相关元件，提示其参与板栗生长发育调控。共线性分析表明分散复制（53个基因）和全基因组复制（9对18个基因）是CmNAC家族扩张的主要动力。转录组数据显示CmNAC14在芽发育中表达持续升高、CmNAC49在坚果发育中保持高表达、CmNAC54在坚果成熟期骤增；CmNAC113在可育胚珠高表达，CmNAC77、CmNAC86可能与胚珠育性相关；qRT-PCR和亚细胞定位验证了表达模式，为板栗发育相关NAC基因功能研究提供系统信息。</t>
        </is>
      </c>
      <c r="O29" s="2" t="inlineStr">
        <is>
          <t>鉴定115个CmNAC基因，分16个亚组（TIP组17个、NAP组15个最多，OsNAC8和AtNAC3组各仅1个，无ANAC063亚组成员）；CmNAC1-113分布于12条染色体，Chr1最多（20个）、Chr10次之（16个），Chr11和Chr12最少（各3个）；氨基酸93-934 aa，分子量10992.77-106329.77 Da，pI 4.26-10.08（83个酸性、31个碱性），69.57%蛋白定位于细胞核；家族扩张：分散复制53个基因、WGD/片段复制32个基因（9对18个）、近端5个、串联4个；共2887个顺式元件，生长素TGA元件见于31个基因、赤霉素响应元件56个、胚乳表达元件20个；CmNAC113在可育胚珠TPM 20.71/13.17/44.92、败育胚珠仅5.82/1.70/2.15，CmNAC109相反；CmNAC14在花后20/25/30天芽中TPM 66.12/126.49/148.57；CmNAC49在坚果花后70/82/94天TPM 122.94/166.93/123.73；CmNAC54成熟期（94天）骤增至72.39 TPM；CmNAC77可育胚珠表达（20.47/47.13/23.78）显著低于败育胚珠（145.63/303.67/288.45）；板栗与葡萄共线性最好（65个区块、71对直系同源基因涉及50个CmNAC）</t>
        </is>
      </c>
      <c r="P29" s="2" t="inlineStr">
        <is>
          <t>筛选出的与芽、坚果发育和胚珠育性相关的CmNAC候选基因，为板栗结实性改良、空蓬控制等分子育种提供靶点；NAC家族系统信息可辅助抗逆与发育性状的遗传改良研究。</t>
        </is>
      </c>
      <c r="Q29" s="5" t="inlineStr">
        <is>
          <t>低</t>
        </is>
      </c>
      <c r="R29" s="2" t="inlineStr">
        <is>
          <t>与059号为同一研究的不同版本（预印本/正式发表）</t>
        </is>
      </c>
      <c r="S29" s="2" t="inlineStr">
        <is>
          <t>NAC基因家族是植物特有的一类重要转录因子家族，调控发育、胁迫响应和信号转导等多种生物过程，但在重要坚果树种板栗中尚未被鉴定。本研究在板栗基因组中鉴定出115个CmNAC基因，系统进化分析将其划分为16个亚组。CmNAC启动子区存在大量生长素、赤霉素和脱落酸相关顺式作用元件，提示其在板栗生长发育中发挥重要作用。共线性分析表明，分散复制和全基因组复制是CmNAC基因扩张的主要驱动力。板栗坚果、芽和胚珠不同发育阶段的RNA-seq数据揭示了CmNAC基因的表达模式，并用qRT-PCR验证了部分基因的表达水平。综合分析表明，部分CmNAC成员可能与板栗芽和坚果发育以及胚珠育性相关，本研究的系统分析将有助于深入理解CmNAC基因在板栗生长发育中的潜在功能。</t>
        </is>
      </c>
    </row>
    <row r="30">
      <c r="A30" s="2" t="n">
        <v>29</v>
      </c>
      <c r="B30" s="2" t="inlineStr">
        <is>
          <t>029_2024_Identification and characterization of _i_CmPP2C31__i_ playing a positive role in the abiotic st.md</t>
        </is>
      </c>
      <c r="C30" s="2" t="inlineStr">
        <is>
          <t>2024</t>
        </is>
      </c>
      <c r="D30" s="2" t="inlineStr">
        <is>
          <t>英文</t>
        </is>
      </c>
      <c r="E30" s="2" t="inlineStr">
        <is>
          <t>Identification and characterization of CmPP2C31 playing a positive role in the abiotic stress resistance of Chinese chestnut via an integrated strategy</t>
        </is>
      </c>
      <c r="F30" s="2" t="inlineStr">
        <is>
          <t>整合策略鉴定与表征正调控中国板栗非生物胁迫抗性的CmPP2C31基因</t>
        </is>
      </c>
      <c r="G30" s="2" t="inlineStr">
        <is>
          <t>Wang Xuan, Shang Wenli, Li Mingyuan, et al.</t>
        </is>
      </c>
      <c r="H30" s="2" t="inlineStr">
        <is>
          <t>Frontiers in Plant Science, 2024, 15:1491269</t>
        </is>
      </c>
      <c r="I30" s="2" t="inlineStr">
        <is>
          <t>生理与分子机制</t>
        </is>
      </c>
      <c r="J30" s="2" t="inlineStr">
        <is>
          <t>PP2C基因家族鉴定与抗旱功能验证</t>
        </is>
      </c>
      <c r="K30" s="2" t="inlineStr">
        <is>
          <t>板栗;PP2C蛋白磷酸酶;非生物胁迫;抗旱性;花粉磁转染;酵母单杂交</t>
        </is>
      </c>
      <c r="L30" s="2" t="inlineStr">
        <is>
          <t>板栗N11-1参考基因组；1年生燕宝（Yanbao，广泛栽培品种）板栗幼苗，分别经低温（0℃ 1h）、干旱（39%土壤含水量22天）、涝渍（100%含水量1h）和外源ABA（150 mg/L 3天）处理；燕宝种子用于花粉磁转染转基因；烟草叶片用于亚细胞定位；拟南芥、核桃、苹果、水稻、夏栎用于比较基因组分析</t>
        </is>
      </c>
      <c r="M30" s="2" t="inlineStr">
        <is>
          <t>HMM（PF00481）全基因组鉴定PP2C基因；MEGA X构建系统进化树；MCScanX共线性与Ka/Ks分析；MGI平台RNA-seq与DESeq2差异表达分析；WGCNA加权共表达网络；RT-qPCR验证；花粉磁转染（磁性纳米颗粒-DNA复合体介导）获得35S::CmPP2C31过表达苗，15% PEG模拟干旱，测定H2O2、MDA、内源ABA；烟草瞬时表达亚细胞定位；酵母单杂交验证转录因子与启动子互作</t>
        </is>
      </c>
      <c r="N30" s="2" t="inlineStr">
        <is>
          <t>该研究首次在板栗基因组中鉴定出68个CmPP2C基因，分为A-N共14个亚组，片段重复与串联重复驱动家族扩张以适应自然环境压力。转录组与WGCNA分析锁定4个枢纽基因（CmPP2C31、38、42、68）与低温、干旱、涝渍及ABA响应显著相关，其中CmPP2C31是唯一在外源ABA处理下上调、又在低温和干旱下显著下调的基因。通过花粉磁转染获得过表达株系，15% PEG模拟干旱下过表达CmPP2C31显著降低H2O2和MDA积累并提高内源ABA含量，证明其正调控板栗抗旱性。亚细胞定位显示其为核蛋白；酵母单杂交证实转录因子EVM0007407（NAC072同源基因）可直接结合CmPP2C31启动子调控其表达，为板栗抗逆分子机制研究和抗逆种质创新奠定基础。</t>
        </is>
      </c>
      <c r="O30" s="2" t="inlineStr">
        <is>
          <t>鉴定68个CmPP2C基因（CmPP2C01-68），分A-N 14个亚组，A亚组最多（11个）、N亚组仅1个；蛋白长186-1079 aa、分子量20.31-119.40 kDa、pI 4.66-9.30；15对重复基因分化时间6.18-67.86 MYa，5对经历正选择（Ka/Ks&gt;1）、10对净化选择；WGCNA得到15个模块，MEblue/MEgreen/MEred分别与低温（r=0.97）、干旱（r=0.96）、涝渍（r=0.94）正相关；4个枢纽CmPP2C：CmPP2C31（MEyellow）、CmPP2C38/42/68（MEblue）；CmPP2C31是唯一ABA上调、低温/干旱显著下调的PP2C；共6240个DEGs，其中22个CmPP2C为DEGs（7上调、14下调）；15% PEG干旱下过表达CmPP2C31显著降低H2O2和MDA、提高内源ABA（p&lt;0.05）；CmPP2C31定位于细胞核；酵母单杂交证实EVM0007407（NAC072同源）在AbA 400-500 ng/mL下结合CmPP2C31启动子；A亚组启动子含46个胁迫相关顺式元件（12 ABRE、11 ARE、5 MBS、4 CCAAT、6 TCA、5 LTR、3 TC-rich）</t>
        </is>
      </c>
      <c r="P30" s="2" t="inlineStr">
        <is>
          <t>CmPP2C31的抗旱正调控功能为板栗抗旱品种分子育种提供候选基因；花粉磁转染技术无需组织培养再生体系即可获得转基因苗，为板栗抗逆种质创新提供高效技术途径。</t>
        </is>
      </c>
      <c r="Q30" s="5" t="inlineStr">
        <is>
          <t>低</t>
        </is>
      </c>
      <c r="R30" s="2" t="inlineStr"/>
      <c r="S30" s="2" t="inlineStr">
        <is>
          <t>中国板栗是重要经济林树种，主要栽培于山区和荒地，易受多种非生物胁迫。蛋白磷酸酶2C（PP2C）基因在植物胁迫响应中作用重大，但其在板栗中的特征与功能尚不清楚。本研究综合运用系统发育、共线性、RNA-seq、转基因和酵母单杂交等方法揭示CmPP2C基因响应非生物胁迫的特征。在板栗基因组中共鉴定68个CmPP2C基因并分析其特征与系统进化关系；共线性分析表明片段重复和串联重复驱动了该家族扩张以适应自然环境压力。RNA测序与共表达分析表明，两个关键模块中的4个枢纽CmPP2C可能在板栗抗非生物胁迫中发挥重要作用，其中CmPP2C31在干旱胁迫下显著下调。花粉磁转染转基因实验表明，CmPP2C31可显著正调控板栗幼苗抗旱性；亚细胞定位显示其为核蛋白；酵母单杂交表明转录因子EVM0007407可通过结合其启动子调控CmPP2C31表达，从而参与非生物胁迫抗性。这些发现为板栗PP2C家族基因提供了详细信息，为进一步阐明板栗非生物胁迫抗性分子机制奠定基础。</t>
        </is>
      </c>
    </row>
    <row r="31">
      <c r="A31" s="2" t="n">
        <v>30</v>
      </c>
      <c r="B31" s="2" t="inlineStr">
        <is>
          <t>030_2024_In vivo absorption, in vitro digestion, and fecal fermentation properties of non-starch polysacc.md</t>
        </is>
      </c>
      <c r="C31" s="2" t="inlineStr">
        <is>
          <t>2024</t>
        </is>
      </c>
      <c r="D31" s="2" t="inlineStr">
        <is>
          <t>英文</t>
        </is>
      </c>
      <c r="E31" s="2" t="inlineStr">
        <is>
          <t>In vivo absorption, in vitro digestion, and fecal fermentation properties of non-starch polysaccharides from Chinese chestnut kernels and their effects on human gut microbiota</t>
        </is>
      </c>
      <c r="F31" s="2" t="inlineStr">
        <is>
          <t>板栗仁非淀粉多糖的体内吸收、体外消化与粪便发酵特性及其对人体肠道菌群的影响</t>
        </is>
      </c>
      <c r="G31" s="2" t="inlineStr">
        <is>
          <t>Peng Fei, Yu Zuoqing, Niu Kui, et al.</t>
        </is>
      </c>
      <c r="H31" s="2" t="inlineStr">
        <is>
          <t>Food Chemistry: X, 2024, 24:101829</t>
        </is>
      </c>
      <c r="I31" s="2" t="inlineStr">
        <is>
          <t>生物活性与功效</t>
        </is>
      </c>
      <c r="J31" s="2" t="inlineStr">
        <is>
          <t>多糖消化发酵特性与肠道菌群调节</t>
        </is>
      </c>
      <c r="K31" s="2" t="inlineStr">
        <is>
          <t>板栗仁;非淀粉多糖;体外消化;粪便发酵;短链脂肪酸;肠道菌群</t>
        </is>
      </c>
      <c r="L31" s="2" t="inlineStr">
        <is>
          <t>河北秦皇岛市售新鲜板栗仁；酶-碱复合法制备板栗仁非淀粉多糖NSPCK；体外模拟唾液、胃液、肠液消化体系；4名健康志愿者粪便（2男2女，19-24岁，近3个月未用抗生素）体外厌氧发酵；30只SPF级6周龄C57BL/6雄性小鼠（分组灌胃4周）</t>
        </is>
      </c>
      <c r="M31" s="2" t="inlineStr">
        <is>
          <t>酶-碱复合提取（α-淀粉酶:糖化酶4:1混合酶+中性蛋白酶+碱提，Sevage脱蛋白，3500 Da透析，乙醇沉淀冻干）；体外模拟胃肠消化（DNS法还原糖、苯酚硫酸法总糖、HPLC分子量、阴离子交换色谱单糖组成、FT-IR、SEM、粒径）；DPPH/ABTS/T-AOC抗氧化与α-葡萄糖苷酶抑制活性；小鼠灌胃100/200 mg/kg体重4周，测定体重、血糖、血脂四项与结肠H&amp;E染色；厌氧粪便发酵48h，气相色谱测短链脂肪酸；16S rRNA V3-V4高通量测序与LEfSe、Spearman相关、PICRUSt功能预测</t>
        </is>
      </c>
      <c r="N31" s="2" t="inlineStr">
        <is>
          <t>该研究以秦皇岛板栗仁为原料提取非淀粉多糖NSPCK（总多糖92.08%），建立体外消化与粪便发酵模型评价其消化特性与益生潜力。NSPCK在模拟唾液和肠液中几乎不被水解（水解度&lt;5%），仅在胃液中被部分消化（水解度19.80%），全程消化率仅0.73%-11.27%，可抵抗上消化道降解到达结肠；消化后仍保持粗糙片层多孔结构和较强抗氧化活性。发酵48 h后总短链脂肪酸达113.46 μg/mL（对照80.05），以乙酸、丙酸、丁酸为主，pH由6.54降至4.03；显著提高双歧杆菌、乳杆菌等有益菌丰度，降低肠球菌等有害菌。小鼠灌胃100/200 mg/kg 4周显著降低血清甘油三酯和总胆固醇、提高HDL-C，结肠无病变且黏膜和肌层增厚，表明板栗多糖是潜在的益生元类功能食品原料。</t>
        </is>
      </c>
      <c r="O31" s="2" t="inlineStr">
        <is>
          <t>NSPCK组成：总多糖92.08%、蛋白1.44%、酚类0.0038%、灰分7.39%，分子量约8505 kDa；单糖为鼠李糖、阿拉伯糖、半乳糖、葡萄糖（摩尔比0.6121）、木糖、半乳糖醛酸；消化率：唾液0.73%、胃9.94%、肠11.27%；水解度最大值：唾液4.17%、胃19.80%、肠4.99%；葡萄糖摩尔比消化后由0.6121降至0.3195；粒径1000-4000 nm消化后显著减小；DPPH清除率消化后由75.49%升至96.59%（6 mg/mL），ABTS由64.55%降至58.48%、T-AOC由20.12%降至12.45%（10 mg/mL）；α-葡萄糖苷酶抑制率63.79%，消化后降至48.07%；小鼠灌胃100/200 mg/kg·BW 4周：血清TG、TC显著降低、HDL-C显著升高（p&lt;0.05），LDL-C无显著变化，体重无显著影响，结肠无病变且黏膜层和肌层增厚；发酵48 h：总SCFAs 113.46 vs 对照80.05 μg/mL（p&lt;0.05），乙酸+丙酸+正丁酸合计297.27 vs 275.61 μg/mL，pH由6.54降至4.03；双歧杆菌、乳杆菌、Ruminococcaceae_UCG-002丰度上升，肠球菌、克雷伯菌、Parasutterella、Sutterella等下降；NSPCK组特征菌：双歧杆菌科、Barnesiellaceae、Erysipelotrichaceae</t>
        </is>
      </c>
      <c r="P31" s="2" t="inlineStr">
        <is>
          <t>板栗多糖耐消化、可增殖益生菌并具降血脂作用，为开发板栗益生元、功能性食品及高附加值深加工产品提供科学依据，也可作为宣传板栗营养健康价值的卖点，提升板栗产业附加值。</t>
        </is>
      </c>
      <c r="Q31" s="4" t="inlineStr">
        <is>
          <t>高</t>
        </is>
      </c>
      <c r="R31" s="2" t="inlineStr"/>
      <c r="S31" s="2" t="inlineStr">
        <is>
          <t>非淀粉多糖是板栗中主要的生物活性成分，可作为具有潜在益生元特性的水溶性多糖。本研究建立体外消化与发酵模型，揭示板栗仁非淀粉多糖（NSPCK）的消化与发酵特性。结果表明：模拟消化条件下NSPCK在胃液中被部分消化，但在唾液和肠液中保持显著的未消化状态，表现出较强的抗水解能力；消化后NSPCK仍保持稳定的粗糙、片层多孔结构并维持较强的抗氧化能力。动物实验显示NSPCK对小鼠血脂水平和结肠组织具有积极影响；发酵过程中NSPCK促进短链脂肪酸（尤其乙酸、丙酸和丁酸）的积累；NSPCK干预提高了乳酸杆菌、双歧杆菌等有益菌的丰度，同时降低了肠球菌等有害菌的丰度。</t>
        </is>
      </c>
    </row>
    <row r="32">
      <c r="A32" s="2" t="n">
        <v>31</v>
      </c>
      <c r="B32" s="2" t="inlineStr">
        <is>
          <t>031_2024_Metabolome and Transcriptome Combined Reveal the Main Floral Volatile Compounds and Key Regulato.md</t>
        </is>
      </c>
      <c r="C32" s="2" t="inlineStr">
        <is>
          <t>2024</t>
        </is>
      </c>
      <c r="D32" s="2" t="inlineStr">
        <is>
          <t>英文</t>
        </is>
      </c>
      <c r="E32" s="2" t="inlineStr">
        <is>
          <t>Metabolome and Transcriptome Combined Reveal the Main Floral Volatile Compounds and Key Regulatory Genes of Castanea mollissima</t>
        </is>
      </c>
      <c r="F32" s="2" t="inlineStr">
        <is>
          <t>代谢组与转录组联合解析板栗花主要挥发性化合物及关键调控基因</t>
        </is>
      </c>
      <c r="G32" s="2" t="inlineStr">
        <is>
          <t>Guo Xiaomeng, Yang Qianyu, Cheng Lili et al.</t>
        </is>
      </c>
      <c r="H32" s="2" t="inlineStr">
        <is>
          <t>Plants 2024, 13, 2865（MDPI）</t>
        </is>
      </c>
      <c r="I32" s="2" t="inlineStr">
        <is>
          <t>生理与分子机制</t>
        </is>
      </c>
      <c r="J32" s="2" t="inlineStr">
        <is>
          <t>花挥发性成分及其合成调控</t>
        </is>
      </c>
      <c r="K32" s="2" t="inlineStr">
        <is>
          <t>板栗花；挥发性有机化合物；苯乙酮；β-蒎烯；萜类生物合成；转录组</t>
        </is>
      </c>
      <c r="L32" s="2" t="inlineStr">
        <is>
          <t>北京市农林科学院板栗高效栽培示范园3株成年板栗（胸径约15 cm、树高3.6 m）的雄花序，初花期（2022-05-18，花序开放5%-15%，IFS）与盛花期（2022-06-07，开放75%-100%，FFS）</t>
        </is>
      </c>
      <c r="M32" s="2" t="inlineStr">
        <is>
          <t>HS-SPME-GC-MS顶空固相微萃取气质联用挥发性代谢组；转录组测序（Illumina HiSeq 3000，比对板栗参考基因组）；DESeq2差异表达分析；OPLS-DA筛选差异代谢物（VIP&gt;1，|Log2FC|≥1）；KEGG/GO富集分析</t>
        </is>
      </c>
      <c r="N32" s="2" t="inlineStr">
        <is>
          <t>本研究采用HS-SPME-GC-MS与转录组联合分析板栗初花期和盛花期雄花序挥发物。共检测到926种挥发性化合物，分属16类，主要为萜类（180种）、杂环化合物（154种）和酯类（146种），三者占51.7%。盛花期花中苯乙酮、苯乙烯和β-蒎烯含量均超过5%，其中苯乙酮130.31 μg/g（占总挥发物10.25%）、苯乙烯67.06 μg/g（占5.14%），而初花期几乎不含苯乙酮和苯乙烯。初盛花期间共筛得325个差异挥发物（248个上调、77个下调），显著富集于倍半萜和三萜生物合成及乙苯降解途径；转录组筛选到6761个差异表达基因（2936个上调、3825个下调），其中31个与萜类生物合成相关，多数萜类合成基因在盛花期上调；苯乙酮合成特异基因PED显著上调。结果表明苯乙酮、β-蒎烯可能是板栗花驱虫、抑菌及药用功能的主要活性成分。</t>
        </is>
      </c>
      <c r="O32" s="2" t="inlineStr">
        <is>
          <t>共检测926种挥发性化合物、分16类，萜类180种+杂环154种+酯类146种占51.7%；芳香类物质总量由初花期60.53 μg/g显著升至盛花期117.92 μg/g，酮类由65.9降至54.3 μg/g；325个差异挥发物（248上调、77下调），显著富集于倍半萜/三萜合成（ko00909）与乙苯降解（ko00642）途径；盛花期苯乙酮130.31 μg/g（占10.25%）、苯乙烯67.06 μg/g（占5.14%），初花期苯乙酮未检出、苯乙烯&lt;0.01%；29种含量&gt;1%的主成分占总量50%以上；6761个DEGs（2936上调、3825下调），31个与萜类合成相关；MVA途径HMGCS、HMGCR、PMK及IDI、AFS1、GERD2、SQE1、TARS、BAS等盛花期上调；苯乙酮合成基因PED（EVM0019297）盛花期显著上调、nahAa（EVM0028643）下调；苯乙酮100 μL/L熏蒸12h对辣椒采后炭疽病菌有良好抑菌活性</t>
        </is>
      </c>
      <c r="P32" s="2" t="inlineStr">
        <is>
          <t>揭示板栗花驱蚊抑菌、清热解毒等药用功能的物质基础（苯乙酮、β-蒎烯），为板栗雄花资源开发香料、抑菌剂和医药产品提供依据，并提示盛花期花香物质含量最高、是采收利用花材的适宜时期。</t>
        </is>
      </c>
      <c r="Q32" s="3" t="inlineStr">
        <is>
          <t>中</t>
        </is>
      </c>
      <c r="R32" s="2" t="inlineStr"/>
      <c r="S32" s="2" t="inlineStr">
        <is>
          <t>板栗是重要的经济林树种，其花具有驱蚊、杀菌、清热等功效，但板栗花挥发性有机化合物（VOCs）的调控机制尚不清楚。本研究利用代谢组和转录组技术分析了板栗初花期（IFS）和盛花期（FFS）花中主要挥发性化合物含量及相关基因表达水平。共检测到926种挥发性化合物，主要为萜烯类、杂环化合物和酯类。盛花期花中乙酰苯（苯乙酮）、苯乙烯和β-蒎烯含量超过5%。IFS与FFS间共325个差异代谢物，显著富集于倍半萜和三萜生物合成途径及乙苯代谢途径。共筛选出31个与萜类生物合成相关的差异表达基因，与乙苯代谢途径相关的差异表达基因仅有2个。本研究鉴定了板栗花的挥发成分，分析了花中主要挥发性化合物含量的变化及相关基因的表达模式，有助于理解板栗花VOCs的调控。</t>
        </is>
      </c>
    </row>
    <row r="33">
      <c r="A33" s="2" t="n">
        <v>32</v>
      </c>
      <c r="B33" s="2" t="inlineStr">
        <is>
          <t>032_2024_Physiological response of chestnuts (Castanea mollissima Blume) infected by pathogenic fungi and.md</t>
        </is>
      </c>
      <c r="C33" s="2" t="inlineStr">
        <is>
          <t>2024</t>
        </is>
      </c>
      <c r="D33" s="2" t="inlineStr">
        <is>
          <t>英文</t>
        </is>
      </c>
      <c r="E33" s="2" t="inlineStr">
        <is>
          <t>Physiological response of chestnuts (Castanea mollissima Blume) infected by pathogenic fungi and their correlation with fruit decay</t>
        </is>
      </c>
      <c r="F33" s="2" t="inlineStr">
        <is>
          <t>病原真菌侵染板栗的生理响应及其与果实腐烂的相关性</t>
        </is>
      </c>
      <c r="G33" s="2" t="inlineStr">
        <is>
          <t>Wen Anyan, Zhu Yiyi, Geng Yangyang et al.</t>
        </is>
      </c>
      <c r="H33" s="2" t="inlineStr">
        <is>
          <t>Food Chemistry: X 2024, 22, 101450（Elsevier）</t>
        </is>
      </c>
      <c r="I33" s="2" t="inlineStr">
        <is>
          <t>病虫害防治</t>
        </is>
      </c>
      <c r="J33" s="2" t="inlineStr">
        <is>
          <t>采后真菌病害侵染机理与防腐</t>
        </is>
      </c>
      <c r="K33" s="2" t="inlineStr">
        <is>
          <t>板栗；病原真菌；生理响应；细胞壁降解酶；超微结构；相关性分析</t>
        </is>
      </c>
      <c r="L33" s="2" t="inlineStr">
        <is>
          <t>贵州望谟县板栗（贵州野生板栗，望谟板栗为国家地理标志产品）；人工接种分离自望谟烂栗的层出镰刀菌（Fusarium proliferatum）、皮落青霉（Penicillium crustosum）、链格孢（Alternaria alternata），单一、两两及三菌混合接种，25℃贮藏10天</t>
        </is>
      </c>
      <c r="M33" s="2" t="inlineStr">
        <is>
          <t>人工创伤接种（单一/两两/三菌混合，各6个菌饼）；4种诱导培养基体外测定6种细胞壁降解酶（Cx、β-Glu、β-Gal、木聚糖酶、PL、PG）活性；抗氧化酶（CAT、SOD、POD、PPO）活性测定；MDA、相对电导率、呼吸强度测定；品质指标（水分、蛋白、脂肪、淀粉、还原糖、α-淀粉酶）测定；扫描电镜观察超微结构；Pearson相关与单因素方差分析</t>
        </is>
      </c>
      <c r="N33" s="2" t="inlineStr">
        <is>
          <t>以贵州望谟板栗为材料，人工接种层出镰刀菌、皮落青霉和链格孢（单一、两两及三菌混合），25℃贮藏10天研究侵染生理响应。侵染期间细胞壁降解酶（CWDEs）和抗氧化酶活性先升后降，水分、蛋白、脂肪、淀粉等营养物质含量下降，MDA、相对电导率、呼吸强度等生理指标上升。病原真菌分泌6种细胞壁降解酶（β-葡萄糖苷酶活性最高），菌丝和孢子先定殖于细胞间隙，随后覆盖整个组织表面，最终细胞壁溶解、细胞结构消失。三菌混合侵染（FPAC）的酶活、MDA、电导率和病斑直径最大，10天整果完全腐烂。腐烂程度（病斑直径）与CWDEs、抗氧化酶、α-淀粉酶、MDA及相对电导率显著正相关（r&gt;0.80），与水分、蛋白、脂肪、淀粉负相关，提示减少机械损伤并结合低温、气调、涂膜等综合防腐措施是防控采后腐烂的关键。</t>
        </is>
      </c>
      <c r="O33" s="2" t="inlineStr">
        <is>
          <t>贮运腐烂造成板栗产量损失超过50%；3种致腐真菌均能分泌6种CWDEs，活性顺序β-Glu&gt;β-Gal&gt;PG&gt;PL&gt;Cx&gt;木聚糖酶，混合接种酶活高于单一接种、FPAC最高；孢子浓度：层出镰刀菌4.90×10^6、皮落青霉1.31×10^7、链格孢4.75×10^5 CFU/mm^2；CAT活性FPAC样品最高达2718.78 U/g；10天时单一接种MDA增加3.74-4.4 nmol/g、混合接种增加4.42-5.17 nmol/g；相对电导率10天达52.3%-68.91%；水分由0天62.47%-63.84%降至10天42.42%-53.19%；蛋白由4.45%-4.54% DW降至2.82%-2.89% DW；PC和FPAC处理10天脂肪分别降低39.24%和38.71% DW；淀粉由45.36%-47.37% DW降至最低27.62% DW（FPAC）；AC还原糖最高2.25% DW；病斑直径与Cx、β-Glu、β-Gal、木聚糖酶、PL、PG、CAT、SOD、α-淀粉酶、MDA、相对电导率显著正相关（P&lt;0.01，r&gt;0.80）</t>
        </is>
      </c>
      <c r="P33" s="2" t="inlineStr">
        <is>
          <t>明确板栗采后主要致腐真菌种类、混合侵染协同致腐规律及侵染生理机理，指导采贮运环节减少机械损伤、控制伤口侵染，采用低温、气调、ClO2/O3或可食性涂膜等综合防腐保鲜技术，降低贮运损失。</t>
        </is>
      </c>
      <c r="Q33" s="4" t="inlineStr">
        <is>
          <t>高</t>
        </is>
      </c>
      <c r="R33" s="2" t="inlineStr"/>
      <c r="S33" s="2" t="inlineStr">
        <is>
          <t>板栗（Castanea mollissima Blume）采后腐烂限制了其产业利用，病原真菌是板栗腐烂的主要原因。本研究调查了层出镰刀菌、皮落青霉和链格孢单一或混合侵染期间板栗的生理变化及其与腐烂程度的相关性。侵染期间，细胞壁降解酶和抗氧化酶活性先升后降，营养物质含量下降，而生理指标水平上升。病原真菌的菌丝和孢子定殖于细胞间隙，随后菌丝覆盖板栗整个组织表面，导致细胞结构消失。值得注意的是，三种病原真菌混合侵染的板栗生理指标和超微结构变化最为显著。此外，板栗腐烂程度与细胞壁降解酶、抗氧化酶和丙二醛水平呈正相关。</t>
        </is>
      </c>
    </row>
    <row r="34">
      <c r="A34" s="2" t="n">
        <v>33</v>
      </c>
      <c r="B34" s="2" t="inlineStr">
        <is>
          <t>033_2024_The MADS-box gene CmAP1 promotes flowering and petal development in Chinese chestnut (Castanea m.md</t>
        </is>
      </c>
      <c r="C34" s="2" t="inlineStr">
        <is>
          <t>2024</t>
        </is>
      </c>
      <c r="D34" s="2" t="inlineStr">
        <is>
          <t>英文</t>
        </is>
      </c>
      <c r="E34" s="2" t="inlineStr">
        <is>
          <t>The MADS-box gene CmAP1 promotes flowering and petal development in Chinese chestnut (Castanea mollissima)</t>
        </is>
      </c>
      <c r="F34" s="2" t="inlineStr">
        <is>
          <t>MADS-box基因CmAP1促进板栗开花和花瓣发育</t>
        </is>
      </c>
      <c r="G34" s="2" t="inlineStr">
        <is>
          <t>Cheng Yunhe, Cheng Lili, Hu Guanglong et al.</t>
        </is>
      </c>
      <c r="H34" s="2" t="inlineStr">
        <is>
          <t>Research Square预印本（Research Article，2024-02-13发布，DOI: 10.21203/rs.3.rs-3852612/v1）</t>
        </is>
      </c>
      <c r="I34" s="2" t="inlineStr">
        <is>
          <t>基因组与基因家族</t>
        </is>
      </c>
      <c r="J34" s="2" t="inlineStr">
        <is>
          <t>花发育MADS-box基因（CmAP1）克隆与功能验证</t>
        </is>
      </c>
      <c r="K34" s="2" t="inlineStr">
        <is>
          <t>板栗；APETALA1；基因表达；开花；花器官发育</t>
        </is>
      </c>
      <c r="L34" s="2" t="inlineStr">
        <is>
          <t>板栗品种'燕山红栗'（北京密云板栗高效栽培示范园）的茎尖、叶片、芽、花序及雌雄花；拟南芥野生型和ap1-11突变体</t>
        </is>
      </c>
      <c r="M34" s="2" t="inlineStr">
        <is>
          <t>CDS与启动子（2124 bp）克隆测序；qRT-PCR时空表达分析；RNA原位杂交；启动子顺式作用元件预测（PlantCare）；pCmAP1::GUS染色；35S::CmAP1-GFP亚细胞定位；拟南芥遗传转化（过表达与ap1-11突变体互补）；邻接法系统进化分析</t>
        </is>
      </c>
      <c r="N34" s="2" t="inlineStr">
        <is>
          <t>本研究克隆了板栗APETALA1同源基因CmAP1的CDS及启动子。CmAP1基因长11726 bp（含8个外显子、7个内含子），CDS长741 bp、编码346个氨基酸，蛋白含典型MADS-MEF2-like和K-box结构域，定位于细胞核，与杨树AP1同源关系最近。CmAP1主要在花中表达（雄花高于雌花）；RNA原位杂交显示其在花序分生组织、花分生组织、萼片、花瓣及雄蕊心皮原基中表达，成熟雌花中仅限萼片和花瓣，雄花中还见于雄蕊。启动子含生长素响应元件TGA、茉莉酸响应元件TGACG和WRKY结合位点W-box。异源过表达CmAP1促进拟南芥野生型和ap1-11突变体提早开花，并恢复ap1-11花瓣缺陷，同时上调AtAP1和AtSEP1-4表达，证明CmAP1作为A类基因调控板栗开花时间与花器官（尤其花瓣）发育。</t>
        </is>
      </c>
      <c r="O34" s="2" t="inlineStr">
        <is>
          <t>CmAP1基因长11726 bp（8外显子/7内含子），CDS 741 bp编码346个氨基酸，5'-UTR 117 bp、3'-UTR 257 bp；启动子2124 bp，含TATA-box 28个、CAAT-box 16个、生长素响应TGA元件、MeJA响应TGACG基序、WRKY结合W-box、多个光响应及MYB/MYC元件；CmAP1与杨树AP1进化关系最近、其次为麻疯树JcAP1；qRT-PCR显示CmAP1在雌雄花中高表达且雄花高于雌花，叶片根中不表达；过表达CmAP1使野生型和ap1-11拟南芥开花提早（莲座叶数减少），恢复ap1-11第二轮花瓣发育，并显著上调AtAP1及AtSEP1-4表达</t>
        </is>
      </c>
      <c r="P34" s="2" t="inlineStr">
        <is>
          <t>为板栗开花调控和花器官发育的分子设计育种提供关键基因资源；理解A类基因在雌雄花分化中的作用，有助于通过基因工程或激素（生长素、茉莉酸）手段调节花期、减少雄花营养消耗，辅助高产栽培与育种。</t>
        </is>
      </c>
      <c r="Q34" s="5" t="inlineStr">
        <is>
          <t>低</t>
        </is>
      </c>
      <c r="R34" s="2" t="inlineStr">
        <is>
          <t>与020号为同一研究的不同版本（预印本/正式发表）</t>
        </is>
      </c>
      <c r="S34" s="2" t="inlineStr">
        <is>
          <t>MADS-box基因APETALA1（AP1）在成花诱导和花器官发育中起重要作用。本研究克隆了板栗AP1同源基因CmAP1的编码序列（CDS）和启动子。CmAP1的CDS长741 bp，编码346个氨基酸的蛋白。亚细胞定位分析表明CmAP1定位于细胞核。CmAP1启动子驱动的GUS在转基因拟南芥幼苗及叶缘、花瓣和心皮中表达。RNA原位杂交显示，花发育早期CmAP1在花序分生组织、花分生组织、萼片、花瓣及雄蕊和心皮原基中表达；成熟雌花中CmAP1仅在萼片和花瓣中表达，成熟雄花中还见于雄蕊。CmAP1启动子中鉴定到生长素响应元件（TGA元件）、茉莉酸响应元件（TGACG基序）和WRKY结合位点（W-box元件）。此外，异源表达CmAP1促进开花并恢复拟南芥ap1-11突变体的花瓣缺陷。上述结果表明，CmAP1作为A类基因影响板栗的开花时间和花发育。</t>
        </is>
      </c>
    </row>
    <row r="35">
      <c r="A35" s="2" t="n">
        <v>34</v>
      </c>
      <c r="B35" s="2" t="inlineStr">
        <is>
          <t>034_2024_Transcriptomic and Metabolic Profiling Reveal the Mechanism of Ovule Development in Castanea mol.md</t>
        </is>
      </c>
      <c r="C35" s="2" t="inlineStr">
        <is>
          <t>2024</t>
        </is>
      </c>
      <c r="D35" s="2" t="inlineStr">
        <is>
          <t>英文</t>
        </is>
      </c>
      <c r="E35" s="2" t="inlineStr">
        <is>
          <t>Transcriptomic and Metabolic Profiling Reveal the Mechanism of Ovule Development in Castanea mollissima</t>
        </is>
      </c>
      <c r="F35" s="2" t="inlineStr">
        <is>
          <t>转录组与代谢组联合分析揭示板栗胚珠发育机制</t>
        </is>
      </c>
      <c r="G35" s="2" t="inlineStr">
        <is>
          <t>Cui Yanhong, Ji Xingzhou, Zhang Yu et al.</t>
        </is>
      </c>
      <c r="H35" s="2" t="inlineStr">
        <is>
          <t>International Journal of Molecular Sciences 2024, 25, 1974（MDPI）</t>
        </is>
      </c>
      <c r="I35" s="2" t="inlineStr">
        <is>
          <t>生理与分子机制</t>
        </is>
      </c>
      <c r="J35" s="2" t="inlineStr">
        <is>
          <t>胚珠发育与败育（空苞）机理</t>
        </is>
      </c>
      <c r="K35" s="2" t="inlineStr">
        <is>
          <t>板栗；可育胚珠；败育胚珠；植物激素；蔗糖；转录组与代谢组</t>
        </is>
      </c>
      <c r="L35" s="2" t="inlineStr">
        <is>
          <t>河北遵化市卫津河国家板栗良种基地15年生板栗'遵化短刺'（母本，授粉品种为'淄博'和'东陵'）；授粉后18、21、27天（DAP）的可育与败育胚珠共24个样品；田间喷施试验用39株生长一致的'遵化短刺'</t>
        </is>
      </c>
      <c r="M35" s="2" t="inlineStr">
        <is>
          <t>子房与胚珠石蜡切片细胞学观察；转录组测序（24个胚珠样品，DESeq2差异分析）；UPLC-MS/MS广泛靶向代谢组（906种代谢物）；K-means聚类与KEGG富集；qRT-PCR和RT-PCR验证8个基因；外源生长调节剂田间喷施试验（乙烯ETH、乙烯前体ACC、乙烯合成抑制剂AIB各50/100/200/400 mg/L，授粉期与受精期各喷1次）</t>
        </is>
      </c>
      <c r="N35" s="2" t="inlineStr">
        <is>
          <t>针对板栗空苞（胚珠败育）问题，以'遵化短刺'为材料对授粉后18、21、27天的可育与败育胚珠进行转录组与代谢组联合分析。受精关键期（15-18 DAP）差异基因富集于淀粉蔗糖代谢、激素信号转导和内质网蛋白加工通路，热激蛋白HSP基因显著下调，表明受精过程对温度异常极敏感。可育胚珠中蔗糖、麦芽糖及IAA、ABA、乙烯前体ACC含量高于败育胚珠，葡萄糖、果糖、SA、玉米素则相反；乙烯合成关键基因CmACS7、CmACO1在受精期显著上调。推测授粉受精期温度异常干扰激素（尤其生长素和乙烯）分泌，影响蔗糖合成与分解，最终导致胚珠败育。田间于授粉期（6月6日）和受精关键期（6月15日）喷施50 mg/L乙烯或ACC显著增加每苞发育坚果数，浓度过高（ACC≥200 mg/L）则显著降低坐苞率和单果重，为通过温度和激素调控减少空苞、提高板栗产量提供了理论和实践依据。</t>
        </is>
      </c>
      <c r="O35" s="2" t="inlineStr">
        <is>
          <t>每个刺苞含3个子房，每子房6-9室，每室2个倒生胚珠；授粉后7天子房膨大、珠被珠心发育，15 DAP胚囊成熟，18 DAP完成双受精，21 DAP可育与败育胚珠外形可区分（败育者扁平）、27 DAP败育胚珠褐化；24个样品获165.18 Gb clean data，Q30≥91.54%，比对率92.05%-96.11%，发现5886个新基因；受精关键期952个显著上调、556个显著下调DEGs，上调基因中AP2/ERF转录因子最多；可育vs败育胚珠三期DEGs分别为8648、2363、5225个，DAMs分别为266、328、417个，共有的DAMs 85个（35个共同上调、19个共同下调）；检测906种代谢物，酚酸类占16.78%最多、氨基酸及其衍生物占10.15%；可育胚珠中蔗糖、麦芽糖、IAA、ABA、ACC更高，败育胚珠中葡萄糖、果糖、SA、玉米素更高；喷50 mg/L ETH或ACC使每苞坚果数由2.22增至3.00和3.20，ACC 400 mg/L坐苞率仅23.32%、单果重由10.15 g降至6.90 g</t>
        </is>
      </c>
      <c r="P35" s="2" t="inlineStr">
        <is>
          <t>提示板栗授粉受精期（约6月中旬）遇异常高低温易形成空苞，生产上应保证该期授粉良好、避开温度胁迫；可在授粉期和受精期喷施低浓度（50 mg/L）乙烯或ACC促进胚珠发育、增加每苞坚果数，但须严格控制浓度以防减产。</t>
        </is>
      </c>
      <c r="Q35" s="3" t="inlineStr">
        <is>
          <t>中</t>
        </is>
      </c>
      <c r="R35" s="2" t="inlineStr"/>
      <c r="S35" s="2" t="inlineStr">
        <is>
          <t>胚珠败育是板栗空苞的主要原因，影响胚胎形成并进一步降低产量，因此研究胚珠败育机制十分重要。本研究分析了胚珠关键发育阶段的转录组和代谢组数据，以探明影响胚珠发育的关键调控网络。代谢物主要富集于内质网中的植物激素信号、能量代谢和氨基酸合成途径。差异表达基因分析显示，受精过程中热激蛋白（HSP）基因显著下调，表明该过程对温度极其敏感。受精前后以及可育与败育胚珠不同发育阶段的胚珠激素和蔗糖含量存在显著差异，据此推测温度异常可能扰乱激素合成，影响蔗糖的合成与分解代谢，最终导致板栗胚珠败育。在板栗授粉受精阶段喷施乙烯、ACC和AIB显著增加了每个刺苞的发育坚果数（与喷水对照相比），表明乙烯和ACC均提高了胚珠发育率。该研究为后续板栗胚珠发育和坚果产量的调控提供了重要的分子理论基础。</t>
        </is>
      </c>
    </row>
    <row r="36">
      <c r="A36" s="2" t="n">
        <v>35</v>
      </c>
      <c r="B36" s="2" t="inlineStr">
        <is>
          <t>035_2024_Utilization of Germinated Seeds as Functional Food Ingredients_ Optimization of Nutrient Composi.md</t>
        </is>
      </c>
      <c r="C36" s="2" t="inlineStr">
        <is>
          <t>2024</t>
        </is>
      </c>
      <c r="D36" s="2" t="inlineStr">
        <is>
          <t>英文</t>
        </is>
      </c>
      <c r="E36" s="2" t="inlineStr">
        <is>
          <t>Utilization of Germinated Seeds as Functional Food Ingredients: Optimization of Nutrient Composition and Antioxidant Activity Evolution Based on the Germination Characteristics of Chinese Chestnut (Castanea mollissima)</t>
        </is>
      </c>
      <c r="F36" s="2" t="inlineStr">
        <is>
          <t>发芽板栗种子作为功能性食品原料的利用：基于板栗发芽特性的营养成分与抗氧化活性演变优化</t>
        </is>
      </c>
      <c r="G36" s="2" t="inlineStr">
        <is>
          <t>Yuan Junwei, Wang Haifen, Jiang Yunbin et al.</t>
        </is>
      </c>
      <c r="H36" s="2" t="inlineStr">
        <is>
          <t>Foods 2024, 13, 2605（MDPI）</t>
        </is>
      </c>
      <c r="I36" s="2" t="inlineStr">
        <is>
          <t>加工与贮藏</t>
        </is>
      </c>
      <c r="J36" s="2" t="inlineStr">
        <is>
          <t>发芽处理与功能性食品开发</t>
        </is>
      </c>
      <c r="K36" s="2" t="inlineStr">
        <is>
          <t>板栗；发芽；功能成分；GABA；抗氧化活性；胚芽</t>
        </is>
      </c>
      <c r="L36" s="2" t="inlineStr">
        <is>
          <t>河北唐山迁西县'早丰'（Zaofeng）板栗种子（2023-09-21采收，-3℃贮藏），22℃、85%相对湿度湿沙培养发芽0-10天，分别取胚芽与子叶测定</t>
        </is>
      </c>
      <c r="M36" s="2" t="inlineStr">
        <is>
          <t>控温控湿湿沙发芽试验（22℃、85% RH，0/2/4/6/8/10天取样）；碘比色法测直链/支链淀粉；GC-MS测糖组分；分光光度法测维生素C；HPLC-MS测GABA；Folin-Ciocalteu法测总酚；AlCl3比色法测总黄酮；DPPH和ABTS自由基清除活力测定；Duncan多重比较方差分析</t>
        </is>
      </c>
      <c r="N36" s="2" t="inlineStr">
        <is>
          <t>以迁西'早丰'板栗种子为材料，在22℃、85%相对湿度湿沙中发芽0-10天，系统监测胚芽和子叶营养成分与功能活性变化。播种第3天开始萌发，发芽率第8天达90%，第10天后胚芽木质化不宜加工。发芽使子叶直链淀粉由42.3%降至34.2%、支链淀粉由42.9%降至25.8%、总糖由12.6%降至11.4%、VC由1.45 mg/g降至0.77 mg/g，降低热量并改善营养组成；同时胚芽可溶性蛋白由0.31%升至0.60%、VC由21.1升至29.4 mg/g、GABA由0.49升至1.68 mg/g、总黄酮由53.6升至129.7 mg/g、ABTS抗氧化活性由1.52升至3.27 μmol TE/g。胚芽中葡萄糖含量约为子叶的80倍，D-果糖、肌醇、VC、GABA、多酚、黄酮含量及DPPH、ABTS抗氧化活性分别为子叶的22.5、6、35、7.5、10、20和10、20倍，D-木酮糖、D-半乳糖醛酸和D-核糖仅存在于胚芽中。综合胚芽生物量与功能成分含量，22℃发芽8天的板栗胚芽最适合作为功能性食品原料。</t>
        </is>
      </c>
      <c r="O36" s="2" t="inlineStr">
        <is>
          <t>播种第3天开始萌发，第4/6/8天发芽率分别为46.67%/83.33%/90%；10天芽长4.71 cm，第8/10天芽鲜重0.298/0.386 g（占仁重4.26%/5.51%），第10天后木质化；子叶直链淀粉42.30%→34.24%、支链淀粉42.89%→25.84%，胚芽直链淀粉4.13%→2.62%、支链淀粉7.86%→3.84%；胚芽糖中蔗糖、葡萄糖、D-果糖、肌醇占98%以上，子叶蔗糖占92%以上；胚芽葡萄糖（0天54.22 mg/g）约为子叶（0.71 mg/g）的80倍，D-果糖约22.5倍、肌醇6倍、VC 35倍、GABA 7.5倍、多酚10倍、黄酮20倍、DPPH 10倍、ABTS 20倍；胚芽GABA第8天峰值1.677 mg/g DW（子叶第6天峰值0.308 mg/g DW）；胚芽VC由21.1升至29.4 mg/g、子叶由1.45降至0.77 mg/g；胚芽总黄酮53.6→129.7 mg/g；胚芽ABTS活性1.52→3.27 μmol TE/g；D-木酮糖、D-半乳糖醛酸、D-核糖为胚芽特征糖</t>
        </is>
      </c>
      <c r="P36" s="2" t="inlineStr">
        <is>
          <t>提供了板栗发芽功能性食品的工艺参数（22℃、85%湿度、发芽8天），可开发高GABA、高VC、高黄酮的板栗芽苗及功能配料，提高板栗附加值；发芽同时降低子叶淀粉和热量，契合健康食品消费需求。</t>
        </is>
      </c>
      <c r="Q36" s="4" t="inlineStr">
        <is>
          <t>高</t>
        </is>
      </c>
      <c r="R36" s="2" t="inlineStr"/>
      <c r="S36" s="2" t="inlineStr">
        <is>
          <t>本研究考察了发芽时长对发芽板栗胚芽和子叶功能成分（维生素C、γ-氨基丁酸（GABA）、多酚、黄酮）及抗氧化活性的影响。利用'早丰'板栗种子，播于22℃、85%相对湿度的湿沙中，于播种后0、2、4、6、8、10天调查发芽率、芽长、芽径和芽鲜重，并分别监测胚芽和子叶中直链淀粉、支链淀粉、糖组分、可溶性蛋白、维生素C、GABA、总酚、黄酮及DPPH和ABTS自由基清除活力的动态变化。结果表明，发芽期间发芽率和胚芽生物量持续增加，播后第8天发芽率达90%。发芽使子叶直链淀粉由42.3%降至34.2%、支链淀粉由42.9%降至25.8%、总糖由12.6%降至11.4%、维生素C由1.45 mg/g降至0.77 mg/g；同时胚芽可溶性蛋白由0.31%升至0.60%、维生素C由21.1升至29.4 mg/g、GABA由0.49升至1.68 mg/g、总黄酮由53.6升至129.7 mg/g、ABTS抗氧化活性由1.52升至3.27 μmol TE/g。胚芽中D-果糖、肌醇、维生素C、GABA、多酚、黄酮的平均含量及DPPH、ABTS抗氧化活性分别高达子叶的22.5、6、35、7.5、10、20和10、20倍，葡萄糖含量更高达子叶的80倍；D-木酮糖、D-半乳糖醛酸和D-核糖仅存在于胚芽中。综合胚芽生物量和功能成分含量，22℃发芽8天的板栗胚芽被认为是功能性食品最适宜的原料。总之，控制发芽不仅提升板栗胚芽的理化与功能特性，还适度降低子叶热量、改善其营养组成，为后续利用发芽板栗开发功能性食品奠定基础。</t>
        </is>
      </c>
    </row>
    <row r="37">
      <c r="A37" s="2" t="n">
        <v>36</v>
      </c>
      <c r="B37" s="2" t="inlineStr">
        <is>
          <t>036_2024_Whole genome sequencing of Castanea mollissima and molecular mechanisms of sugar and starch synt.md</t>
        </is>
      </c>
      <c r="C37" s="2" t="inlineStr">
        <is>
          <t>2024</t>
        </is>
      </c>
      <c r="D37" s="2" t="inlineStr">
        <is>
          <t>英文</t>
        </is>
      </c>
      <c r="E37" s="2" t="inlineStr">
        <is>
          <t>Whole genome sequencing of Castanea mollissima and molecular mechanisms of sugar and starch synthesis</t>
        </is>
      </c>
      <c r="F37" s="2" t="inlineStr">
        <is>
          <t>板栗全基因组测序及糖与淀粉合成的分子机制</t>
        </is>
      </c>
      <c r="G37" s="2" t="inlineStr">
        <is>
          <t>Nie S, Li R, Huang X, et al.</t>
        </is>
      </c>
      <c r="H37" s="2" t="inlineStr">
        <is>
          <t>Frontiers in Plant Science</t>
        </is>
      </c>
      <c r="I37" s="2" t="inlineStr">
        <is>
          <t>基因组与基因家族</t>
        </is>
      </c>
      <c r="J37" s="2" t="inlineStr">
        <is>
          <t>T2T无间隙基因组组装与花粉直感糖淀粉代谢调控网络</t>
        </is>
      </c>
      <c r="K37" s="2" t="inlineStr">
        <is>
          <t>全基因组测序；T2T无间隙基因组；花粉直感；淀粉合成；时序基因共表达网络；SBE枢纽基因</t>
        </is>
      </c>
      <c r="L37" s="2" t="inlineStr">
        <is>
          <t>广西林科院试验林场5年生板栗品种'Lan You'（广西主栽品种）的根、茎、叶、花芽、幼果；花粉直感强弱的两个杂交组合种仁：YFR（永丰1号♀×永仁早♂，高糖淀粉）与YFM（永丰1号♀×易门1♂，低糖淀粉），成熟前20天、10天、0天三个时期</t>
        </is>
      </c>
      <c r="M37" s="2" t="inlineStr">
        <is>
          <t>PacBio HiFi+Hi-C+Illumina测序组装T2T基因组；基因注释（MAKER/EVM/PASA）；11个物种基因家族与系统进化分析（OrthoMCL、CAFE、MCMCTree）；时序基因共表达网络（TO-GCN）；DESeq2转录组差异表达分析；糖与淀粉含量测定（3次重复）</t>
        </is>
      </c>
      <c r="N37" s="2" t="inlineStr">
        <is>
          <t>本研究利用广西主栽品种'Lan You'经PacBio HiFi、Hi-C和Illumina测序，组装出首个板栗端粒到端粒（T2T）无间隙高质量参考基因组（742.47 Mb，12条染色体，contig N50达52.20 Mb），注释35,008个蛋白编码基因，BUSCO完整度97.71%，显著优于此前已发表的5个版本。通过对花粉直感效应强弱不同的两个杂交组合种仁进行转录组和糖淀粉含量动态分析，构建了糖-淀粉合成时序基因共表达网络，鉴定出560个转录因子和22个结构基因在两组合中表现一致的共表达调控，网络分为T1、T2、T3三个子网络，其中T1和T2子网络与糖生物合成密切相关。SBE基因（Camol08G0254600）为连接度最高的枢纽基因，编码枝链淀粉合成关键限速酶；并揭示Trihelix→bZIP→C2H2→SBE的层级调控级联。YFR组合中4个SBE和3个SSS基因在成熟前T3期特异性高表达，与其显著更高的枝链淀粉含量对应。研究首次系统阐明板栗花粉直感影响糖淀粉积累的分子机制，推荐'永仁早'和'燕龙'作授粉品种。</t>
        </is>
      </c>
      <c r="O37" s="2" t="inlineStr">
        <is>
          <t>基因组742.47 Mb、12条染色体；contig N50=52.20 Mb（旧版本0.13-5.23 Mb）；35,008个蛋白编码基因，基因平均长5.27 kb；重复序列占53.28%，LTR逆转录转座子占28.08%；BUSCO完整度97.71%，LAI=16.52；板栗与3种栎树分化约21.3百万年前；特有基因家族763个（4.0%，含1,794个基因）；扩张基因家族234个，收缩1,182个；淀粉占坚果干重47%-80%；23个淀粉合成酶基因（AGPase 5个、GBSS 2个、SSS 6个、SBE 6个、ISA 4个）；INV基因家族15个成员最多；560个转录因子（MYB家族142个最多）+22个结构基因；YFR中4个SBE和3个SSS基因T3期特异性高表达；枢纽基因SBE Camol08G0254600；Trihelix-bZIP-C2H2调控级联；推荐'永仁早''燕龙'为授粉品种；数据登录号PRJNA912750</t>
        </is>
      </c>
      <c r="P37" s="2" t="inlineStr">
        <is>
          <t>为板栗授粉树配置提供直接依据：选用'永仁早''燕龙'等高糖淀粉直感父本可提高坚果淀粉与枝链淀粉含量、改善风味糯性和经济收益；T2T无间隙基因组为板栗分子标记辅助育种、基因型选择和产量品质改良奠定基础。</t>
        </is>
      </c>
      <c r="Q37" s="3" t="inlineStr">
        <is>
          <t>中</t>
        </is>
      </c>
      <c r="R37" s="2" t="inlineStr"/>
      <c r="S37" s="2" t="inlineStr">
        <is>
          <t>板栗自交不亲和，父本选择（花粉直感）显著影响种子淀粉代谢及果实产量和品质，但其分子机制尚不清楚。本研究利用板栗品种'Lan You'构建高质量参考基因组，成功组装了首个板栗端粒到端粒（T2T）无间隙基因组。在淀粉积累相关基因的时序共表达网络（TO-GCN）中，560个转录因子和22个结构基因表现出一致的调控模式；网络进一步分为T1、T2、T3三个子网络，其中T1和T2子网络含较多调控一致的结构基因，与糖的生物合成密切相关。SBE基因（Camol08G0254600）被鉴定为连接度最高的枢纽基因，编码枝链淀粉生物合成通路的关键限速酶。该研究为板栗群体遗传学、遗传改良及提高产量和品质的策略奠定了基础。</t>
        </is>
      </c>
    </row>
    <row r="38">
      <c r="A38" s="2" t="n">
        <v>37</v>
      </c>
      <c r="B38" s="2" t="inlineStr">
        <is>
          <t>037_2023_A Novel Non-Specific Lipid Transfer Protein Gene, CmnsLTP6.9, Enhanced Osmotic and Drought Toler.md</t>
        </is>
      </c>
      <c r="C38" s="2" t="inlineStr">
        <is>
          <t>2023</t>
        </is>
      </c>
      <c r="D38" s="2" t="inlineStr">
        <is>
          <t>英文</t>
        </is>
      </c>
      <c r="E38" s="2" t="inlineStr">
        <is>
          <t>A Novel Non-Specific Lipid Transfer Protein Gene, CmnsLTP6.9, Enhanced Osmotic and Drought Tolerance by Regulating ROS Scavenging and Remodeling Lipid Profiles in Chinese Chestnut (Castanea mollissima Blume)</t>
        </is>
      </c>
      <c r="F38" s="2" t="inlineStr">
        <is>
          <t>新型非特异性脂质转运蛋白基因CmnsLTP6.9通过调控ROS清除和脂质重塑增强板栗渗透与干旱耐受性</t>
        </is>
      </c>
      <c r="G38" s="2" t="inlineStr">
        <is>
          <t>Xiao Y, Xiao C, He X, et al.</t>
        </is>
      </c>
      <c r="H38" s="2" t="inlineStr">
        <is>
          <t>Plants</t>
        </is>
      </c>
      <c r="I38" s="2" t="inlineStr">
        <is>
          <t>生理与分子机制</t>
        </is>
      </c>
      <c r="J38" s="2" t="inlineStr">
        <is>
          <t>nsLTP基因家族鉴定与干旱/渗透胁迫抗性基因功能验证</t>
        </is>
      </c>
      <c r="K38" s="2" t="inlineStr">
        <is>
          <t>板栗；非特异性脂质转运蛋白；CmnsLTP6.9；干旱胁迫；ROS清除；脂质代谢</t>
        </is>
      </c>
      <c r="L38" s="2" t="inlineStr">
        <is>
          <t>板栗品种'江山2号'（湖北省农科院果树茶叶研究所武汉种质园）；雄花4个发育阶段、雌花2个发育阶段；渗透（250 mM甘露醇）和干旱（停水）处理的一致生长嫩梢；拟南芥Col-0野生型及过表达株系</t>
        </is>
      </c>
      <c r="M38" s="2" t="inlineStr">
        <is>
          <t>全基因组nsLTP基因家族鉴定（HMM模型PF14368/PF00234+BLASTP）；系统进化、保守基序（MEME）、基因结构和顺式作用元件（PlantCARE）分析；qRT-PCR表达分析；GFP亚细胞定位（洋葱表皮）；拟南芥遗传转化与过表达功能验证（T3代）；UHPLC-QTOF-MS非靶向脂质组学</t>
        </is>
      </c>
      <c r="N38" s="2" t="inlineStr">
        <is>
          <t>本研究首次在板栗全基因组中鉴定出60个非特异性脂质转运蛋白（nsLTP）基因，分为9个亚家族，其中半数以上在雄花发育各阶段高表达，推测参与花粉成熟中的脂质转运。从雄花cDNA克隆到CmnsLTP6.9的两个剪接体：CmnsLTP6.9L和CmnsLTP6.9S（后者5'端缺失87 bp、编码缺失29个氨基酸且无N端信号肽），两者均含AAI_LTSS保守结构域并定位于细胞周边（胞外基质）。拟南芥过表达实验显示，CmnsLTP6.9L显著增强250 mM甘露醇渗透胁迫和停水干旱胁迫耐受性：相对含水量升高，相对电解质泄漏和MDA含量降低，H2O2积累减少，SOD和POD活性显著提高；而CmnsLTP6.9S株系与野生型无显著差异，丧失了降低ROS的功能。脂质组学表明CmnsLTP6.9L主要上调脂肪酸酰基和甘油磷脂（2种PI、1种PC），重塑脂质谱以维持膜完整性。证明N端信号肽是CmnsLTP6.9行使抗旱功能所必需，该基因为板栗抗旱品种选育提供了候选基因。</t>
        </is>
      </c>
      <c r="O38" s="2" t="inlineStr">
        <is>
          <t>板栗60个CmnsLTPs分9个亚家族（type I 13个最多、type V 12个、type XI 10个、type VI 9个、type II/IV各5个、type IX 3个、type VIII 2个、type III 1个）；46个含motif 4、38个含motif 6；启动子预测36种顺式作用元件；11个CmnsLTPs响应渗透和干旱，4个（CmnsLTP1.1、5.1、6.9、11.5）正向响应；CmnsLTP6.9S较L缺失87 bp（29 aa，含24 aa信号肽）；250 mM甘露醇渗透处理0-24 h、停水干旱0-9 h；CmnsLTP6.9L-OE株系相对含水量更高、电解质泄漏和MDA更低、H2O2积累更慢、SOD/POD活性显著更高（p&lt;0.05）；差异脂质：L1_vs_L2共388个（171上调/217下调）、W_vs_L1仅105个、W_vs_L2有226个；2种PI和1种PC显著上调；KEGG富集花生四烯酸代谢和鞘脂代谢</t>
        </is>
      </c>
      <c r="P38" s="2" t="inlineStr">
        <is>
          <t>CmnsLTP6.9L可作为板栗抗旱育种的候选基因和分子标记，用于干旱瘠薄山区板栗耐旱无性系筛选与种质创新；研究结果提示通过提高SOD/POD活性和膜脂PI/PC水平可增强板栗抗旱性，为抗旱栽培管理提供理论依据。</t>
        </is>
      </c>
      <c r="Q38" s="3" t="inlineStr">
        <is>
          <t>中</t>
        </is>
      </c>
      <c r="R38" s="2" t="inlineStr"/>
      <c r="S38" s="2" t="inlineStr">
        <is>
          <t>板栗是重要经济树种，以其美味的果实和对环境胁迫（尤其干旱）的适应性著称，但目前关于响应非生物胁迫的非特异性脂质转运蛋白（nsLTP）基因的信息有限。本研究鉴定并分析了板栗nsLTP基因CmnsLTP6.9。该蛋白定位于胞外基质，具有两个剪接变异体CmnsLTP6.9L和CmnsLTP6.9S，后者在5'端有87 bp缺失。在拟南芥中过表达CmnsLTP6.9L可增强渗透和干旱胁迫耐受性；渗透和干旱处理下，CmnsLTP6.9L能提高活性氧（ROS）清除酶活性、减轻ROS损伤；而CmnsLTP6.9S过表达株系在渗透和干旱处理下的表型、ROS含量及相关酶活性与野生型无显著差异。脂质代谢分析证实，与CmnsLTP6.9S不同，CmnsLTP6.9L主要改变并上调多种脂肪酸酰基和甘油磷脂，表明二者在板栗脂质转运中功能不同。本研究证明CmnsLTP6.9L通过ROS清除和脂质代谢增强干旱和渗透胁迫耐受性。</t>
        </is>
      </c>
    </row>
    <row r="39">
      <c r="A39" s="2" t="n">
        <v>38</v>
      </c>
      <c r="B39" s="2" t="inlineStr">
        <is>
          <t>038_2023_A transcriptomic evaluation of the mechanism of programmed cell death of the replaceable bud in .md</t>
        </is>
      </c>
      <c r="C39" s="2" t="inlineStr">
        <is>
          <t>2023</t>
        </is>
      </c>
      <c r="D39" s="2" t="inlineStr">
        <is>
          <t>英文</t>
        </is>
      </c>
      <c r="E39" s="2" t="inlineStr">
        <is>
          <t>A transcriptomic evaluation of the mechanism of programmed cell death of the replaceable bud in Chinese chestnut</t>
        </is>
      </c>
      <c r="F39" s="2" t="inlineStr">
        <is>
          <t>中国板栗'替码珍珠'可替换芽（替码）程序性细胞死亡机制的转录组学评估</t>
        </is>
      </c>
      <c r="G39" s="2" t="inlineStr">
        <is>
          <t>Guo Y, Zhang S, Li Y, et al.</t>
        </is>
      </c>
      <c r="H39" s="2" t="inlineStr">
        <is>
          <t>Open Life Sciences</t>
        </is>
      </c>
      <c r="I39" s="2" t="inlineStr">
        <is>
          <t>生理与分子机制</t>
        </is>
      </c>
      <c r="J39" s="2" t="inlineStr">
        <is>
          <t>顶端芽衰老程序性细胞死亡（PCD）的转录组调控网络</t>
        </is>
      </c>
      <c r="K39" s="2" t="inlineStr">
        <is>
          <t>板栗；替码（可替换芽）；程序性细胞死亡；转录组；乙烯信号传导</t>
        </is>
      </c>
      <c r="L39" s="2" t="inlineStr">
        <is>
          <t>河北昌黎（河北省农林科学院昌黎果树研究所）12年生板栗品种'替码珍珠'15株（株行距4 m×4 m）；花后20天（S20，PCD前，绿芽）、25天（S25，PCD中，黄绿芽无离层）、30天（S30，PCD后，棕黄芽部分离层）结果枝顶部前3节的可替换芽，每重复60个芽</t>
        </is>
      </c>
      <c r="M39" s="2" t="inlineStr">
        <is>
          <t>RNA-seq转录组测序（Illumina NovaSeq 6000，HISAT2比对+StringTie定量）；DESeq2差异表达分析（FDR&lt;0.01、|log2FC|&gt;1）；GO与KEGG富集分析（DAVID）；STRING蛋白互作网络与Cytoscape可视化；qRT-PCR验证9个PCD相关DEGs</t>
        </is>
      </c>
      <c r="N39" s="2" t="inlineStr">
        <is>
          <t>'替码珍珠'是顶端芽（替码）自然衰老死亡、树冠紧凑的板栗突变品种，其替码死亡为程序性细胞死亡（PCD）。本研究对替码PCD前（S20）、中（S25）、后（S30）转录组测序，三个比较组分别检测到5,779、9,867和2,674个差异表达基因，6,137个为至少两次比较共有的DEGs，其中441个与PCD过程相关。GO/KEGG分析显示差异基因显著富集于植物激素信号转导（93个DEGs）、过氧化物酶体、亚油酸与α-亚麻酸代谢、谷胱甘肽代谢等通路。乙烯信号在PCD中期显著激活：乙烯生物合成基因（3个ACS、1个SAM合成酶、12个ACO）及MAPK、ERS1、EIN3、ERF等信号组分上调，而生长素和细胞分裂素信号基因下调，表明替码PCD主要受高乙烯、低生长素、低细胞分裂素调控，乙烯与二者拮抗互作。PCD启动涉及NAC（43个）、MYB（49个）、bHLH（31个）、MADS-box（7个）转录因子、细胞色素c上调及Ca2+信号（36个DEGs）；PCD执行由自噬（ATG基因、VPS蛋白）与metacaspase-9、半胱氨酸蛋白酶、液泡加工酶、核酸酶等水解酶协同降解细胞组分。提出乙烯信号激活→PCD启动→PCD执行的三阶段假想模型。</t>
        </is>
      </c>
      <c r="O39" s="2" t="inlineStr">
        <is>
          <t>S20 vs S25有5,779个DEGs、S20 vs S30有9,867个、S25 vs S30有2,674个；6,137个共有DEGs；441个PCD相关DEGs；植物激素信号转导通路93个DEGs；乙烯生物合成16个DEGs（3个ACS、1个SAM合成酶、12个ACO）；43个NAC、49个MYB、31个bHLH、7个MADS-box转录因子；36个Ca2+信号DEGs（4个Ca2+通道、9个CDPK、9个CBL、14个钙调蛋白）；PCD执行相关：1个metacaspase、8个半胱氨酸蛋白酶、2个液泡加工酶、19个天冬氨酸蛋白酶、9个核酸内切酶、20个VPS蛋白、18个ATG自噬相关蛋白、17个果胶酯酶、13个木葡聚糖内转糖苷酶、5个内切葡聚糖酶；qRT-PCR与RNA-seq结果一致</t>
        </is>
      </c>
      <c r="P39" s="2" t="inlineStr">
        <is>
          <t>揭示了'替码珍珠'紧凑树冠形成的分子机制，为板栗矮化紧凑型品种选育和结果枝更新修剪管理提供理论依据；乙烯促进芽衰老死亡的发现提示可通过乙烯调控措施干预芽的生长发育与树冠控制。</t>
        </is>
      </c>
      <c r="Q39" s="5" t="inlineStr">
        <is>
          <t>低</t>
        </is>
      </c>
      <c r="R39" s="2" t="inlineStr"/>
      <c r="S39" s="2" t="inlineStr">
        <is>
          <t>以往研究表明中国板栗'替码珍珠'可替换芽（替码）的衰老死亡涉及程序性细胞死亡（PCD），但调控替码PCD的分子网络尚不清楚。本研究对'替码珍珠'替码PCD前（S20）、中（S25）、后（S30）三个时期进行转录组分析，发现S20 vs S25、S20 vs S30和S25 vs S30分别有5,779、9,867和2,674个差异表达基因（DEGs），约6,137个DEGs为至少两次比较所共有。GO分析将这些共有DEGs分为15个细胞组分、14个分子功能和19个生物过程；KEGG分析发现植物激素信号转导通路包含93个DEGs。共鉴定441个DEGs与PCD过程相关，其中多数与乙烯信号以及各PCD过程的启动和执行有关。</t>
        </is>
      </c>
    </row>
    <row r="40">
      <c r="A40" s="2" t="n">
        <v>39</v>
      </c>
      <c r="B40" s="2" t="inlineStr">
        <is>
          <t>039_2023_Anticancer Activity of Polysaccharides from Castanea Mollissima Blume in H22 Tumor-Bearing Mice.md</t>
        </is>
      </c>
      <c r="C40" s="2" t="inlineStr">
        <is>
          <t>2023</t>
        </is>
      </c>
      <c r="D40" s="2" t="inlineStr">
        <is>
          <t>英文</t>
        </is>
      </c>
      <c r="E40" s="2" t="inlineStr">
        <is>
          <t>Anticancer Activity of Polysaccharides from Castanea Mollissima Blume in H22 Tumor-Bearing Mice</t>
        </is>
      </c>
      <c r="F40" s="2" t="inlineStr">
        <is>
          <t>板栗多糖对H22荷瘤小鼠的抗肿瘤活性</t>
        </is>
      </c>
      <c r="G40" s="2" t="inlineStr">
        <is>
          <t>Xue J, Wang Y, Zhang C, et al.</t>
        </is>
      </c>
      <c r="H40" s="2" t="inlineStr">
        <is>
          <t>Transactions on Cancer</t>
        </is>
      </c>
      <c r="I40" s="2" t="inlineStr">
        <is>
          <t>生物活性与功效</t>
        </is>
      </c>
      <c r="J40" s="2" t="inlineStr">
        <is>
          <t>板栗多糖抗肿瘤与免疫调节活性</t>
        </is>
      </c>
      <c r="K40" s="2" t="inlineStr">
        <is>
          <t>板栗多糖；抗肿瘤活性；H22肝癌模型；三相分配法；免疫调节</t>
        </is>
      </c>
      <c r="L40" s="2" t="inlineStr">
        <is>
          <t>河北秦皇岛青龙县燕山板栗仁（脱壳干燥过40目筛）；H22肝癌细胞（中科院上海细胞所）；SPF级BALB/c雌性小鼠40只（20-25 g，7-8周龄）</t>
        </is>
      </c>
      <c r="M40" s="2" t="inlineStr">
        <is>
          <t>热水提取（80℃、料液比1:20、2 h×2次）+三相分配法（硫酸铵/叔丁醇）纯化板栗多糖TCP；建立H22荷瘤小鼠模型并灌胃14天（低剂量100、高剂量500 mg/kg·d，5-FU阳性对照）；测定肿瘤抑制率与脾脏/胸腺指数；MTT法检测ConA/LPS诱导脾淋巴细胞增殖；中性红法检测巨噬细胞吞噬；流式细胞术检测外周血CD3+、CD4+、CD8+、CD19+淋巴细胞亚群</t>
        </is>
      </c>
      <c r="N40" s="2" t="inlineStr">
        <is>
          <t>以燕山板栗仁为原料，经80℃热水提取和三相分配法纯化制备板栗多糖（TCP），灌胃H22肝癌荷瘤小鼠14天。结果显示TCP显著抑制实体瘤生长：低剂量100 mg/(kg·d)组肿瘤抑制率35.64%，高剂量500 mg/(kg·d)组达56.61%，接近阳性对照5-氟尿嘧啶（59.81%），高剂量组平均瘤体积显著低于模型组（p&lt;0.05）。TCP显著减轻荷瘤小鼠脾肿大和胸腺萎缩，剂量依赖性增强ConA和LPS诱导的脾T、B淋巴细胞增殖，显著提高巨噬细胞中性红吞噬能力，并显著提高外周血CD3+、CD4+、CD8+ T淋巴细胞比例、降低CD19+ B细胞比例。表明板栗多糖并非直接杀伤肿瘤细胞，而是通过增强宿主细胞免疫和体液免疫间接抑制肿瘤，是极具医药和功能食品开发价值的免疫调节活性多糖。</t>
        </is>
      </c>
      <c r="O40" s="2" t="inlineStr">
        <is>
          <t>低剂量TCP（100 mg/kg·d）抑瘤率35.64%±3.14%；高剂量（500 mg/kg·d）抑瘤率56.61%±2.69%；5-FU阳性对照59.81%±2.87%；脾指数：模型组8.17 mg/g→TCP低/高剂量组6.16/5.72 mg/g（p&lt;0.05）；胸腺指数：模型组2.11 mg/g→2.45/3.08 mg/g；CD3+：模型组41.43%→低剂量54.33%、高剂量66.57%；CD4+：28.46%→32.68%、38.80%；CD8+：16.71%→19.40%、25.66%；CD19+：50.89%→45.52%、32.39%（均p&lt;0.05）；ConA 5 µg/mL、LPS 10 µg/mL诱导的淋巴细胞增殖显著增强</t>
        </is>
      </c>
      <c r="P40" s="2" t="inlineStr">
        <is>
          <t>证实板栗多糖具有显著免疫调节与抗肿瘤功效，为板栗功能食品、保健品的开发和高值化深加工提供科学依据，可提升板栗产业附加值；热水提取-三相分配工艺简单，适合板栗多糖的产业化制备。</t>
        </is>
      </c>
      <c r="Q40" s="4" t="inlineStr">
        <is>
          <t>高</t>
        </is>
      </c>
      <c r="R40" s="2" t="inlineStr"/>
      <c r="S40" s="2" t="inlineStr">
        <is>
          <t>本研究通过热水提取和三相分配法纯化获得板栗多糖（TCP），灌胃H22肝癌荷瘤小鼠以考察其对实体瘤的抑制作用。结果表明，口服TCP显著抑制肿瘤生长，减轻脾肿大和胸腺萎缩；低剂量组[100 mg/(kg·d)]和高剂量组[500 mg/(kg·d)]的肿瘤抑制率分别为35.64%和56.61%。TCP还显著增强ConA或LPS诱导的小鼠脾细胞增殖，明显改善巨噬细胞吞噬功能，并提高小鼠外周血CD3+、CD4+、CD8+ T淋巴细胞百分比。本研究证实TCP通过增强宿主免疫防御系统发挥抗肿瘤作用，在医药和功能食品领域具有重要应用前景。</t>
        </is>
      </c>
    </row>
    <row r="41">
      <c r="A41" s="2" t="n">
        <v>40</v>
      </c>
      <c r="B41" s="2" t="inlineStr">
        <is>
          <t>040_2023_Comprehensive evaluation of fruit quality for premium Wangmo Castanea mollissima plants.md</t>
        </is>
      </c>
      <c r="C41" s="2" t="inlineStr">
        <is>
          <t>2023</t>
        </is>
      </c>
      <c r="D41" s="2" t="inlineStr">
        <is>
          <t>英文</t>
        </is>
      </c>
      <c r="E41" s="2" t="inlineStr">
        <is>
          <t>Comprehensive evaluation of fruit quality for premium Wangmo Castanea mollissima plants</t>
        </is>
      </c>
      <c r="F41" s="2" t="inlineStr">
        <is>
          <t>望谟板栗优良单株果实品质综合评价</t>
        </is>
      </c>
      <c r="G41" s="2" t="inlineStr">
        <is>
          <t>Long L, Lv L, Qiu J, et al.</t>
        </is>
      </c>
      <c r="H41" s="2" t="inlineStr">
        <is>
          <t>PLOS ONE</t>
        </is>
      </c>
      <c r="I41" s="2" t="inlineStr">
        <is>
          <t>果实品质与营养</t>
        </is>
      </c>
      <c r="J41" s="2" t="inlineStr">
        <is>
          <t>果实表型与营养品质综合评价及优异种质筛选</t>
        </is>
      </c>
      <c r="K41" s="2" t="inlineStr">
        <is>
          <t>望谟板栗；果实品质；主成分分析；聚类分析；种质资源评价；高钾</t>
        </is>
      </c>
      <c r="L41" s="2" t="inlineStr">
        <is>
          <t>贵州望谟县4个乡镇（纳贡、纳沙、大观、者相）经连续5年观察筛选的32株板栗优良单株（GM1-GM32；大观2株、纳贡2株、纳沙23株、者相5株）；2021年9月下旬完全成熟、栗苞自然开裂时每株随机采50个成熟果实</t>
        </is>
      </c>
      <c r="M41" s="2" t="inlineStr">
        <is>
          <t>游标卡尺和电子天平测定10个果实表型性状（单苞重、苞径、壳厚、刺长、坚果三径、果形指数、含水率等）；蒽酮比色法测可溶性糖和淀粉、考马斯亮蓝G-250法测可溶性蛋白、索氏提取法测脂肪、EDTA络合滴定测单宁、电位滴定测总酸；微波消解-ICP-MS测定Ca、K、Mg、Mn、Fe、Zn 6种矿质元素；相关分析、聚类分析（欧氏距离）与主成分分析（PCA）</t>
        </is>
      </c>
      <c r="N41" s="2" t="inlineStr">
        <is>
          <t>对贵州望谟县32株板栗优良单株的10个表型性状和13个品质性状进行测定与综合评价。23个性状变异系数7.61%-48.86%，Mn含量变异最大（48.86%），可溶性糖（30.19%）和单苞重（27.46%）次之；淀粉（7.61%）、果形指数（9.10%）、坚果纵径（10.25%）最稳定；品质性状平均变异（20.32%）大于表型性状（16.01%）。GM-32表型与品质均最佳：苞大刺短、坚果大、含水率低，Fe、Mg、Zn含量最高。聚类分析将32株分为3组：组I（13株）大果优质，K、Ca、Mn、灰分、可溶性糖显著高于其他组而淀粉显著偏低；组II（16株）小果品质中等；组III（GM5、GM16、GM17）中等果高淀粉。PCA提取7个主成分累计贡献率76.23%，综合得分前10位为GM32&gt;GM31&gt;GM29&gt;GM1&gt;GM8&gt;GM17&gt;GM10&gt;GM30&gt;GM3&gt;GM28。望谟板栗平均钾含量7,652 mg/kg（4,948-9,271 mg/kg）、淀粉53.93%、可溶性糖10.99%、可溶性蛋白0.37%、坚果含水率65.47%；可溶性糖与淀粉显著负相关（r=-0.64）。</t>
        </is>
      </c>
      <c r="O41" s="2" t="inlineStr">
        <is>
          <t>23性状CV 7.61%-48.86%；Mn含量CV 48.86%（34-305 mg/kg）；可溶性糖CV 30.19%（5.03%-18.10%）；单苞重CV 27.46%（14.30-43.96 g）；淀粉CV仅7.61%（44.09%-62.85%，平均53.93%）；平均K含量7,652 mg/kg（4,948-9,271），GM-8、GM-23、GM-28超9,000 mg/kg；平均Mg 1,097、Ca 543、Zn 11.64、Fe 18.13 mg/kg；平均含水率65.47%（53.27%-86.61%）；可溶性糖与淀粉显著负相关（r=-0.64）；坚果含水率与Ca、可溶性蛋白、可溶性糖、脂肪显著负相关（r=-0.41、-0.42、-0.41、-0.35）；PCA 7个主成分累计贡献率76.23%；综合得分前10：GM32&gt;GM31&gt;GM29&gt;GM1&gt;GM8&gt;GM17&gt;GM10&gt;GM30&gt;GM3&gt;GM28；32株聚为3组（13株/16株/3株）</t>
        </is>
      </c>
      <c r="P41" s="2" t="inlineStr">
        <is>
          <t>筛选出GM32、GM31、GM29等10个综合品质优异单株，可作为望谟板栗良种选育与推广的候选；高钾含量是望谟板栗地理标志产品的特色卖点；可溶性糖与淀粉负相关、坚果含水率与耐贮性相关的规律可指导品质改良方向和采后贮藏，低含水率优株更耐贮藏。</t>
        </is>
      </c>
      <c r="Q41" s="4" t="inlineStr">
        <is>
          <t>高</t>
        </is>
      </c>
      <c r="R41" s="2" t="inlineStr"/>
      <c r="S41" s="2" t="inlineStr">
        <is>
          <t>本研究检测了32株望谟板栗优良单株（编号GM1-GM32）的果实表型与品质，以鉴定不同聚类群组的性状特征和综合表现优异的种质，为望谟板栗优质种质资源收集和优良品种选育提供理论基础。对32株优良单株测定10个果实表型性状和13个品质性状，采用聚类分析和主成分分析（PCA）进行综合评价。结果显示：15对果实表型与品质性状呈极显著正相关（P&lt;0.01），16对呈显著正相关（P&lt;0.05）；4对呈极显著负相关，15对呈显著负相关。聚类分析将供试植株分为3组：第1组果实大、品质好；第2组果实小、品质差；第3组果实中等大小且淀粉含量高。PCA从23个性状中提取主成分，累计贡献率76.23%。综合品质最高的10株为GM32、GM31、GM29、GM1、GM8、GM17、GM10、GM30、GM3和GM28。研究结果为望谟板栗种质资源的开发利用提供参考。</t>
        </is>
      </c>
    </row>
    <row r="42">
      <c r="A42" s="2" t="n">
        <v>41</v>
      </c>
      <c r="B42" s="2" t="inlineStr">
        <is>
          <t>041_2023_Comprehensive Genome-Wide Identification and Transcript Profiling of GLK transcription factors i.md</t>
        </is>
      </c>
      <c r="C42" s="2" t="inlineStr">
        <is>
          <t>2023</t>
        </is>
      </c>
      <c r="D42" s="2" t="inlineStr">
        <is>
          <t>英文</t>
        </is>
      </c>
      <c r="E42" s="2" t="inlineStr">
        <is>
          <t>Comprehensive Genome-Wide Identification and Transcript Profiling of GLK transcription factors in Castanea mollissima</t>
        </is>
      </c>
      <c r="F42" s="2" t="inlineStr">
        <is>
          <t>板栗GLK转录因子家族的全基因组鉴定与转录表达分析</t>
        </is>
      </c>
      <c r="G42" s="2" t="inlineStr">
        <is>
          <t>Yong Yang, Xuan Wang, Jing Liu et al.</t>
        </is>
      </c>
      <c r="H42" s="2" t="inlineStr">
        <is>
          <t>Research Square预印本（DOI: 10.21203/rs.3.rs-2597344/v1）</t>
        </is>
      </c>
      <c r="I42" s="2" t="inlineStr">
        <is>
          <t>基因组与基因家族</t>
        </is>
      </c>
      <c r="J42" s="2" t="inlineStr">
        <is>
          <t>GLK转录因子基因家族鉴定</t>
        </is>
      </c>
      <c r="K42" s="2" t="inlineStr">
        <is>
          <t>GLK转录因子;叶绿体发育;光合作用;基因家族;板栗</t>
        </is>
      </c>
      <c r="L42" s="2" t="inlineStr">
        <is>
          <t>板栗（Castanea mollissima）参考基因组；品种'青龙45'与'燕龙'成熟叶片及'燕龙'坚果（非光合器官）转录组数据</t>
        </is>
      </c>
      <c r="M42" s="2" t="inlineStr">
        <is>
          <t>BLAST结合NCBI CD-search与Pfam结构域筛选鉴定基因家族；MEGA-X构建ML系统发育树；MEME保守基序分析；TBtools染色体定位与共线性分析；MCScanX重复事件检测与Ka/Ks计算；PlantCARE启动子顺式作用元件分析；RNA-seq表达谱（FPKM）热图与柱状图</t>
        </is>
      </c>
      <c r="N42" s="2" t="inlineStr">
        <is>
          <t>在全基因组水平鉴定出板栗37个GLK转录因子基因（CmGLK1-CmGLK37），聚为6个亚群，广泛分布于11条染色体（7号染色体无分布）。进化过程中发生3对片段重复和1对串联重复（CmGLK17/18），CmGLK17同时涉及两类重复；所有重复基因对Ka/Ks均小于1，表明经历强纯化选择。与拟南芥和玉米的共线性分析显示GLK基因在C3植物间同源性高，而C3与C4植物间同源性低。Motif 1和Motif 2（编码DNA结合域）在全部37个成员中高度保守。启动子区共鉴定24种光响应元件，每个CmGLK至少含4个，Box 4几乎存在于所有成员。表达分析表明CmGLK33、CmGLK34、CmGLK35在叶片中表达显著高于坚果，被认为是调控板栗叶绿体发育的关键基因，为板栗光合作用改良提供候选基因。</t>
        </is>
      </c>
      <c r="O42" s="2" t="inlineStr">
        <is>
          <t>板栗基因组共鉴定37个GLK基因，聚为6个亚群；分布于11条染色体，7号染色体无CmGLK；3对片段重复（分化时间36.31、40.25、75.23百万年前）加1对串联重复（CmGLK17/18，51.00百万年前）；所有重复基因对Ka/Ks&lt;1；启动子区鉴定24种光响应元件，CmGLK11含16个（最多）；Box 4存在于几乎所有CmGLK，在CmGLK13光响应元件中占83.33%；CmGLK33、34、35在叶片中表达显著高于坚果，可能是叶绿体发育关键调控基因；CmGLK除少数定位于叶绿体、细胞质、过氧化物酶体外均定位于细胞核</t>
        </is>
      </c>
      <c r="P42" s="2" t="inlineStr">
        <is>
          <t>揭示板栗GLK基因家族组成与光合调控候选基因，为通过分子育种手段提升板栗光合效率与产量提供基因资源和理论依据。</t>
        </is>
      </c>
      <c r="Q42" s="5" t="inlineStr">
        <is>
          <t>低</t>
        </is>
      </c>
      <c r="R42" s="2" t="inlineStr"/>
      <c r="S42" s="2" t="inlineStr">
        <is>
          <t>Golden2-like（GLK）转录因子属于GARP超家族，参与多种植物的叶绿体发育，但其在板栗叶绿体发育中的作用尚不清楚。本研究以343个其他植物GLK基因在板栗基因组中比对，鉴定出37个GLK基因；基于氨基酸序列构建无根ML系统发育树，37个CmGLK聚为6支，广泛分布于板栗基因组的11条染色体。进化中发生3对片段重复和1次重复事件，CmGLK17同时涉及串联重复与片段重复。板栗与拟南芥、玉米的比较共线性分析表明GLK在C3植物间具有广泛的序列同源性，而C3与C4植物之间则无。Motif 1和Motif 2（编码DNA结合域）是37个CmGLK中最保守的结构域。启动子中鉴定出24种光响应元件，Box 4存在于所有CmGLK中。结果表明CmGLK33、CmGLK34和CmGLK35可能在调控叶绿体发育中发挥关键作用。该研究揭示了板栗GLK基因家族的分子特征与进化关系，为理解GLK在板栗光合作用中的生物学功能提供了新见解。</t>
        </is>
      </c>
    </row>
    <row r="43">
      <c r="A43" s="2" t="n">
        <v>42</v>
      </c>
      <c r="B43" s="2" t="inlineStr">
        <is>
          <t>042_2023_Diversity of _i_Monochaetia__i_ Species from Fagaceous Leaf Spots in China and Pathogenicity for.md</t>
        </is>
      </c>
      <c r="C43" s="2" t="inlineStr">
        <is>
          <t>2023</t>
        </is>
      </c>
      <c r="D43" s="2" t="inlineStr">
        <is>
          <t>英文</t>
        </is>
      </c>
      <c r="E43" s="2" t="inlineStr">
        <is>
          <t>Diversity of Monochaetia Species from Fagaceous Leaf Spots in China and Pathogenicity for Chinese Chestnut</t>
        </is>
      </c>
      <c r="F43" s="2" t="inlineStr">
        <is>
          <t>中国壳斗科叶斑病中单毛孢属物种多样性及其对板栗的致病性</t>
        </is>
      </c>
      <c r="G43" s="2" t="inlineStr">
        <is>
          <t>Ning Jiang, Hermann Voglmayr, Han Xue et al.</t>
        </is>
      </c>
      <c r="H43" s="2" t="inlineStr">
        <is>
          <t>Microbiology Spectrum</t>
        </is>
      </c>
      <c r="I43" s="2" t="inlineStr">
        <is>
          <t>病虫害防治</t>
        </is>
      </c>
      <c r="J43" s="2" t="inlineStr">
        <is>
          <t>叶斑病病原真菌分类与致病性鉴定</t>
        </is>
      </c>
      <c r="K43" s="2" t="inlineStr">
        <is>
          <t>单毛孢属;新种;分子系统发育;致病性;叶斑病;板栗</t>
        </is>
      </c>
      <c r="L43" s="2" t="inlineStr">
        <is>
          <t>2016-2021年采自中国广东、河南、陕西的壳斗科病叶（寄主：石栎Lithocarpus glaber、栓皮栎、槲栎、麻栎、巴东栎，共2属5种）分离获得29个供试菌株；健康板栗离体叶片用于致病性测定</t>
        </is>
      </c>
      <c r="M43" s="2" t="inlineStr">
        <is>
          <t>病叶组织表面消毒（75%乙醇1分钟-1.25%次氯酸钠3分钟-75%乙醇1分钟）后PDA/MEA培养分离；形态学观察与分生孢子测量；ITS、LSU、tef1、tub2四基因联合系统发育分析（RAxML最大似然法与MrBayes贝叶斯法）；离体叶片接种致病性测定（1×10^6孢子/毫升，25℃、湿度大于90%、10天）并按柯赫氏法则再分离验证</t>
        </is>
      </c>
      <c r="N43" s="2" t="inlineStr">
        <is>
          <t>2016-2021年调查中国广东、河南、陕西壳斗科植物病叶，结合形态学与ITS、LSU、tef1、tub2四基因联合系统发育分析，建立单毛孢属（Monochaetia）5个新种：M. hanzhongensis、M. lithocarpi、M. lithocarpicola、M. quercicola、M. shaanxiensis，其中M. lithocarpicola是该属首次发现的近透明色分生孢子种。以健康板栗离体叶片对6种单毛孢进行致病性测定，仅从板栗病叶分离的M. castaneae（CFCC 54354）成功侵染并引起褐色病斑，且再分离满足柯赫氏法则，确认为板栗叶片病原真菌；其余5种来自栎属、石栎属的真菌均不能侵染板栗。研究表明寄主关联不能作为该属种类划分的可靠依据，同时加深了对壳斗科叶斑病真菌多样性及其寄主范围的认识。</t>
        </is>
      </c>
      <c r="O43" s="2" t="inlineStr">
        <is>
          <t>建立5个单毛孢属新种：M. hanzhongensis、M. lithocarpi、M. lithocarpicola、M. quercicola、M. shaanxiensis；仅M. castaneae接种板栗叶片10天后产生褐色病斑并再分离成功，其余5种不侵染；接种浓度1×10^6个孢子/毫升，25℃、相对湿度大于90%、黑暗10天；四基因（ITS、LSU、tef1、tub2）联合数据集共2735个碱基，含642个简约信息位点；M. lithocarpicola为该属首个近透明色分生孢子种，分生孢子31-35×7.5-9微米；调查仅覆盖中国320余种壳斗科植物中的5种寄主</t>
        </is>
      </c>
      <c r="P43" s="2" t="inlineStr">
        <is>
          <t>明确侵染板栗的单毛孢属病原为M. castaneae，提示栗园周边栎类、石栎类等壳斗科树种叶斑真菌多样性丰富；板栗叶斑病诊断应结合分子鉴定，为针对性防治提供病原学依据。</t>
        </is>
      </c>
      <c r="Q43" s="3" t="inlineStr">
        <is>
          <t>中</t>
        </is>
      </c>
      <c r="R43" s="2" t="inlineStr"/>
      <c r="S43" s="2" t="inlineStr">
        <is>
          <t>拟盘多毛孢类真菌的形态、分子系统发育和致病性已被广泛研究。单毛孢属（Monochaetia）是拟盘多毛孢类的一个属，形态学特征为5细胞分生孢子、顶端和基部各具单一附属丝。本研究于2016至2021年从中国壳斗科植物病叶分离真菌菌株，基于形态学以及5.8S核糖体DNA（含两侧ITS区）、核糖体大亚基（LSU）、翻译延伸因子1-α（tef1）和β-微管蛋白（tub2）基因的系统发育分析进行鉴定。结果提出5个新种：M. hanzhongensis、M. lithocarpi、M. lithocarpicola、M. quercicola和M. shaanxiensis。此外，以板栗离体健康叶片对这5个新种及来自板栗的M. castaneae进行致病性测试，结果表明只有M. castaneae能成功侵染板栗并引起褐色病斑。本研究为单毛孢属的物种多样性、分类和寄主范围提供了重要数据，增进了对壳斗科叶部病害的认识。</t>
        </is>
      </c>
    </row>
    <row r="44">
      <c r="A44" s="2" t="n">
        <v>43</v>
      </c>
      <c r="B44" s="2" t="inlineStr">
        <is>
          <t>043_2023_Effect of Chestnut (Castanea Mollissima Blume) Bur Polyphenol Extract on Shigella dysenteriae_ A.md</t>
        </is>
      </c>
      <c r="C44" s="2" t="inlineStr">
        <is>
          <t>2023</t>
        </is>
      </c>
      <c r="D44" s="2" t="inlineStr">
        <is>
          <t>英文</t>
        </is>
      </c>
      <c r="E44" s="2" t="inlineStr">
        <is>
          <t>Effect of Chestnut (Castanea Mollissima Blume) Bur Polyphenol Extract on Shigella dysenteriae: Antibacterial Activity and the Mechanism</t>
        </is>
      </c>
      <c r="F44" s="2" t="inlineStr">
        <is>
          <t>板栗栗蓬多酚提取物对痢疾志贺氏菌的抑菌活性及其机制</t>
        </is>
      </c>
      <c r="G44" s="2" t="inlineStr">
        <is>
          <t>Fei Peng, Linan Chen, Xiuping Wang et al.</t>
        </is>
      </c>
      <c r="H44" s="2" t="inlineStr">
        <is>
          <t>Molecules</t>
        </is>
      </c>
      <c r="I44" s="2" t="inlineStr">
        <is>
          <t>生物活性与功效</t>
        </is>
      </c>
      <c r="J44" s="2" t="inlineStr">
        <is>
          <t>栗蓬多酚抗菌活性与机制</t>
        </is>
      </c>
      <c r="K44" s="2" t="inlineStr">
        <is>
          <t>栗蓬多酚;痢疾志贺氏菌;抗菌活性;转录组;代谢组;废弃物利用</t>
        </is>
      </c>
      <c r="L44" s="2" t="inlineStr">
        <is>
          <t>2021年10月采自河北省青龙满族自治县的板栗栗蓬；痢疾志贺氏菌（Shigella dysenteriae，BNCC 103609）</t>
        </is>
      </c>
      <c r="M44" s="2" t="inlineStr">
        <is>
          <t>HPLC-ESI-MS/MS定性定量分析多酚组分；MIC/MBC测定与生长曲线；扫描电镜（SEM）、共聚焦激光扫描显微镜（CLSM）、流式细胞术观察菌体形态与活性；NPN/ONPG荧光探针检测膜通透性、DiBAC4(3)检测膜电位、AKP活性检测细胞壁完整性、蛋白与K+泄漏及ATP/ATPase测定；转录组（RNA-seq）与非靶向代谢组（UPLC-MS）联合分析</t>
        </is>
      </c>
      <c r="N44" s="2" t="inlineStr">
        <is>
          <t>板栗栗蓬多酚提取物（CBPE）对痢疾志贺氏菌具有明显抑菌杀菌活性，最小抑菌浓度（MIC）为0.4毫克/毫升，最小杀菌浓度（MBC）为1.6毫克/毫升，MIC50为0.14毫克/毫升。CBPE处理不可逆地破坏菌体形态、降低细胞活性，浓度依赖性地增加细胞膜通透性、引起膜电位去极化和胞内蛋白、K+、大分子物质泄漏，对细胞壁和细胞膜具有明显破坏作用，并显著降低胞内ATP含量和ATPase活性。转录组与代谢组联合分析共发现357个差异表达基因和678个差异代谢物，涉及49条共同通路，表明CBPE通过干扰ABC蛋白转运、硫代谢、嘌呤代谢、精氨酸代谢、酪氨酸代谢和甘油磷脂代谢等多条通路抑制该菌生长。研究为利用栗蓬提取物防治痢疾及食源性疾病提供了理论依据，也为板栗加工废弃物高值化利用开辟了新途径。</t>
        </is>
      </c>
      <c r="O44" s="2" t="inlineStr">
        <is>
          <t>CBPE对痢疾志贺氏菌MIC为0.4毫克/毫升、MBC为1.6毫克/毫升、MIC50为0.14毫克/毫升；主要多酚成分为鞣花单宁155.1毫克/克、原花青素二聚体1.3毫克/克、山奈酚2.2毫克/克、杨梅素0.5毫克/克、芦丁0.1毫克/克、槲皮素0.3毫克/克；1/2MIC、MIC、2MIC处理后活菌比例由92.72%降至48.13%、40.13%、39.66%；膜电位荧光强度由49.73%升至72.94%（去极化）；AKP外泄5小时达22 U/L/gprot；2MIC时K+泄漏达29.25克/升、胞内ATP下降88.12%、蛋白泄漏0.309毫克/毫升；大分子泄漏1/2MIC-MIC-2MIC分别为对照的1.19、2.01、2.67倍；差异基因357个（257上调、100下调）、差异代谢物678个、转录组与代谢组共同通路49条；栗蓬约占板栗总重20%，副产物合计约占60%</t>
        </is>
      </c>
      <c r="P44" s="2" t="inlineStr">
        <is>
          <t>栗蓬占板栗总重约20%且采收后多被焚烧废弃，其多酚提取物具强抑菌活性，可开发为天然抗菌剂或食品防腐剂，实现栗蓬废弃物高值化利用，兼具环境与经济效益。</t>
        </is>
      </c>
      <c r="Q44" s="4" t="inlineStr">
        <is>
          <t>高</t>
        </is>
      </c>
      <c r="R44" s="2" t="inlineStr"/>
      <c r="S44" s="2" t="inlineStr">
        <is>
          <t>痢疾志贺氏菌是一种高致病性微生物，可通过污染食品和饮用水引起人类细菌性痢疾。本研究考察了板栗栗蓬多酚提取物（CBPE）对痢疾志贺氏菌的抑菌活性及其机制。结果表明，CBPE对痢疾志贺氏菌的最小抑菌浓度（MIC）为0.4毫克/毫升，最小杀菌浓度（MBC）为1.6毫克/毫升。CBPE处理不可逆地破坏细胞形态，降低细胞活性，增加细胞膜通透性、细胞膜去极化和细胞内容物泄漏，表明CBPE对痢疾志贺氏菌的细胞膜和细胞壁具有明显破坏作用。转录组与代谢组联合分析表明，CBPE通过干扰ABC蛋白转运、硫代谢、嘌呤代谢、氨基酸代谢和甘油磷脂代谢等通路抑制痢疾志贺氏菌。这些发现为利用栗蓬提取物预防和治疗痢疾志贺氏菌感染提供了理论基础。</t>
        </is>
      </c>
    </row>
    <row r="45">
      <c r="A45" s="2" t="n">
        <v>44</v>
      </c>
      <c r="B45" s="2" t="inlineStr">
        <is>
          <t>044_2023_Effects of Tremella fuciformis Mushroom Polysaccharides on Structure, Pasting, and Thermal Prope.md</t>
        </is>
      </c>
      <c r="C45" s="2" t="inlineStr">
        <is>
          <t>2023</t>
        </is>
      </c>
      <c r="D45" s="2" t="inlineStr">
        <is>
          <t>英文</t>
        </is>
      </c>
      <c r="E45" s="2" t="inlineStr">
        <is>
          <t>Effects of Tremella fuciformis Mushroom Polysaccharides on Structure, Pasting, and Thermal Properties of Chinese Chestnuts (Castanea henryi) Starch Granules under Different Freeze-Thaw Cycles</t>
        </is>
      </c>
      <c r="F45" s="2" t="inlineStr">
        <is>
          <t>银耳多糖对不同冻融循环次数下锥栗淀粉颗粒结构、糊化及热特性的影响</t>
        </is>
      </c>
      <c r="G45" s="2" t="inlineStr">
        <is>
          <t>Weijing Zhuang, Shuyi Zheng, Feng Chen et al.</t>
        </is>
      </c>
      <c r="H45" s="2" t="inlineStr">
        <is>
          <t>Foods</t>
        </is>
      </c>
      <c r="I45" s="2" t="inlineStr">
        <is>
          <t>加工与贮藏</t>
        </is>
      </c>
      <c r="J45" s="2" t="inlineStr">
        <is>
          <t>淀粉冻融稳定性与多糖改性</t>
        </is>
      </c>
      <c r="K45" s="2" t="inlineStr">
        <is>
          <t>锥栗淀粉;银耳多糖;冻融循环;回生;糊化特性;持水性</t>
        </is>
      </c>
      <c r="L45" s="2" t="inlineStr">
        <is>
          <t>福建建瓯产新鲜锥栗（Castanea henryi）提取的淀粉；市售银耳（Tremella fuciformis）水提多糖；处理组合：原淀粉（0 CHS）、3次和10次冻融循环淀粉（3/10 CHS）及按淀粉:多糖=7:3复配的对应组（3/10 CHS+TFP），冻融条件为-20℃冷冻22小时、25℃解冻2小时</t>
        </is>
      </c>
      <c r="M45" s="2" t="inlineStr">
        <is>
          <t>激光粒度分析；傅里叶变换红外光谱（FT-IR）；X射线衍射（XRD）测相对结晶度；热重分析（TGA）；低场核磁共振（LF-NMR）测水分分布；沉淀法测回生（析水）特性；快速黏度分析仪（RVA）测糊化特性；流变仪稳态剪切与动态频率扫描；质构分析仪（TPA）测凝胶质地</t>
        </is>
      </c>
      <c r="N45" s="2" t="inlineStr">
        <is>
          <t>以锥栗淀粉为对象，研究冻融循环（0、3、10次）及添加银耳多糖（与淀粉7:3复配）对淀粉结构与理化性质的影响。随冻融次数增加，淀粉平均粒径显著减小（10次循环后部分颗粒达纳米级、粒径分布呈双峰），相对结晶度升高表明回生加剧，峰值黏度、表观黏度、剪切变稀程度和凝胶硬度下降。添加银耳多糖后，淀粉粒径、相对结晶度和糊化温度降低，可有效抵消冻融造成的脱水收缩：10次循环时析水率由58%降至52.27%，回生值（SB）由874.14 cP降至539.09 cP，失重率比原淀粉低约5%，持水性和冻融稳定性显著提高，凝胶硬度、弹性、内聚性和回复性等质构特性同时改善。银耳多糖与锥栗淀粉的相互作用为改善冷冻板栗淀粉类产品的品质提供了理论依据。</t>
        </is>
      </c>
      <c r="O45" s="2" t="inlineStr">
        <is>
          <t>复配比例为锥栗淀粉:银耳多糖=7:3；70小时析水率：原淀粉65%、3次冻融60%、10次冻融58%，加银耳多糖后分别降至63%和52.27%；糊化温度：0次80.40℃、3次82.81℃、10次74.11℃，加多糖后76.40℃/75.62℃；回生值SB：897.11（0次）、874.14（3次）、539.09 cP（10次加多糖）；加多糖使淀粉第二阶段热裂解温度由245.3℃升至301.27℃，10次循环加多糖失重率比原淀粉低5%；凝胶硬度：10次循环139.22 g，加多糖后154.50 g，弹性由1.23升至1.39；流变指数n=0.39-0.42呈假塑性剪切变稀；结合水（T21）比例均大于97%</t>
        </is>
      </c>
      <c r="P45" s="2" t="inlineStr">
        <is>
          <t>为速冻板栗制品加工提供配方思路：按约30%比例添加银耳多糖可抑制锥栗淀粉回生、减少冻融脱水和析水，改善冻藏后口感与质地，提升冷冻板栗产品的贮藏稳定性。</t>
        </is>
      </c>
      <c r="Q45" s="3" t="inlineStr">
        <is>
          <t>中</t>
        </is>
      </c>
      <c r="R45" s="2" t="inlineStr"/>
      <c r="S45" s="2" t="inlineStr">
        <is>
          <t>本研究旨在考察银耳多糖对冻融处理后锥栗淀粉理化性质的影响，测定内容包括水分含量、结晶度、粒径、糊化、回生、热特性、流变特性和质构等。结果表明，适度的冻融过程加剧了淀粉回生，使粒径、黏度、剪切类型、剪切变稀程度和硬度下降。添加银耳多糖后，淀粉粒径、相对结晶度和糊化温度降低，呈现类似固体的特性。因此，添加银耳多糖能有效抵消冻融引起的脱水，降低黏度，抑制冻融淀粉的回生；同时银耳多糖在提高冻融淀粉稳定性方面作用显著。这些发现凸显了在经受冻融循环的淀粉类产品中添加银耳多糖的潜在益处。</t>
        </is>
      </c>
    </row>
    <row r="46">
      <c r="A46" s="2" t="n">
        <v>45</v>
      </c>
      <c r="B46" s="2" t="inlineStr">
        <is>
          <t>045_2023_Genome-wide identification and characterization of the bZIP gene family and their function in st.md</t>
        </is>
      </c>
      <c r="C46" s="2" t="inlineStr">
        <is>
          <t>2023</t>
        </is>
      </c>
      <c r="D46" s="2" t="inlineStr">
        <is>
          <t>英文</t>
        </is>
      </c>
      <c r="E46" s="2" t="inlineStr">
        <is>
          <t>Genome-wide identification and characterization of the bZIP gene family and their function in starch accumulation in Chinese chestnut (Castanea mollissima Blume)</t>
        </is>
      </c>
      <c r="F46" s="2" t="inlineStr">
        <is>
          <t>板栗bZIP基因家族的全基因组鉴定与特征分析及其在淀粉积累中的功能</t>
        </is>
      </c>
      <c r="G46" s="2" t="inlineStr">
        <is>
          <t>Penglong Zhang, Jing Liu, Nan Jia et al.</t>
        </is>
      </c>
      <c r="H46" s="2" t="inlineStr">
        <is>
          <t>Frontiers in Plant Science</t>
        </is>
      </c>
      <c r="I46" s="2" t="inlineStr">
        <is>
          <t>基因组与基因家族</t>
        </is>
      </c>
      <c r="J46" s="2" t="inlineStr">
        <is>
          <t>bZIP转录因子基因家族鉴定与淀粉积累调控</t>
        </is>
      </c>
      <c r="K46" s="2" t="inlineStr">
        <is>
          <t>bZIP转录因子;基因家族;淀粉积累;酵母单杂交;板栗;分子育种</t>
        </is>
      </c>
      <c r="L46" s="2" t="inlineStr">
        <is>
          <t>板栗实生栽培优系N11-1参考基因组（689.98 Mb）；'永丰1号'×'永丰1号'、'永丰1号'×'易门1号'、'永丰1号'×'永仁早'三个杂交组合授粉后70、82、94天种子转录组数据；板栗品种'燕宝'种子（用于酵母单杂交克隆）</t>
        </is>
      </c>
      <c r="M46" s="2" t="inlineStr">
        <is>
          <t>基于Pfam bZIP结构域（PF00170）的HMM搜索全基因组鉴定；ExPASy理化性质分析；MEGA-X构建NJ系统发育树；MEME保守基序与GSDS基因结构分析；MCScanX共线性与重复事件检测、KaKs计算；RNA-seq表达谱与WGCNA加权共表达网络分析；Pearson相关分析；酵母单杂交（Y1H）验证转录因子与靶基因启动子互作</t>
        </is>
      </c>
      <c r="N46" s="2" t="inlineStr">
        <is>
          <t>首次从板栗基因组中鉴定59个bZIP转录因子基因（CmbZIP01-CmbZIP59），不均匀分布于11条染色体和contig上（2号染色体无分布），聚为13个分支，保守基序和基因结构具有分支特异性；蛋白长度140-1075个氨基酸，57个成员定位于细胞核。片段重复是CmbZIP家族扩张的主要动力（10对片段重复、无串联重复），7对重复基因经历纯化选择，CmbZIP09/45和CmbZIP19/25可能经历正选择。与拟南芥、苹果、水稻、小麦的共线性分析获得41个直系同源基因对。转录组表达与WGCNA分析表明CmbZIP04、13、14、33、35、38、56共7个基因与种子总淀粉、支链淀粉含量及淀粉合酶活性显著相关（|r|≥0.67，p&lt;0.05）；酵母单杂交证实CmbZIP13和CmbZIP35分别通过结合脱支酶基因CmISA2和分支酶基因CmSBE1_2的启动子参与板栗种子淀粉积累调控，为板栗糯性品质相关功能验证和分子育种提供基因资源。</t>
        </is>
      </c>
      <c r="O46" s="2" t="inlineStr">
        <is>
          <t>鉴定59个CmbZIP基因（CmbZIP01-59），聚为13个分支（A-L和Un），最大分支H含13个成员；57个定位于细胞核、CmbZIP35在叶绿体、CmbZIP41在液泡；蛋白长度140-1075 aa、分子量16067-122097 Da；10对片段重复、无串联重复，片段重复分化于9.50-116.09百万年前，7对Ka/Ks&lt;1（CmbZIP20/22最小0.06）；CmbZIP09/45和19/25 Ka/Ks&gt;1（1.63/1.64）为正选择；41个基因与4物种共线性（苹果34对、拟南芥27对、水稻5对、小麦1对）；7个CmbZIP（04、13、14、33、35、38、56）与淀粉积累显著相关（|r|≥0.67、p&lt;0.05）；Y1H证实CmbZIP13结合CmISA2启动子、CmbZIP35结合CmSBE1_2启动子；淀粉合成相关基因启动子普遍含ACGT顺式元件（G-box最多）</t>
        </is>
      </c>
      <c r="P46" s="2" t="inlineStr">
        <is>
          <t>锁定调控板栗种子淀粉积累的关键bZIP转录因子（CmbZIP13、CmbZIP35等），为揭示板栗糯性品质形成机制、开展糯性性状分子标记辅助选择与品质育种提供候选基因。</t>
        </is>
      </c>
      <c r="Q46" s="5" t="inlineStr">
        <is>
          <t>低</t>
        </is>
      </c>
      <c r="R46" s="2" t="inlineStr"/>
      <c r="S46" s="2" t="inlineStr">
        <is>
          <t>碱性亮氨酸拉链（bZIP）转录因子家族基因在植物胁迫响应和生长发育中发挥重要作用，但板栗中的bZIP基因家族鲜有报道。为更好理解板栗bZIP基因的特征及其在淀粉积累中的功能，本研究开展系统发育、共线性、共表达和酵母单杂交等系列分析。共鉴定59个bZIP基因，不均匀分布于板栗基因组，命名为CmbZIP01至CmbZIP59；这些基因聚为13个分支，基序和结构具有分支特异性。共线性分析表明片段重复是CmbZIP基因家族扩张的主要驱动力，41个CmbZIP基因与其他4个物种具有共线性关系。共表达分析结果表明3个关键模块中的7个CmbZIP基因可能在调控板栗种子淀粉积累中发挥重要作用。酵母单杂交试验显示转录因子CmbZIP13和CmbZIP35可能分别通过结合CmISA2和CmSBE1_2的启动子参与板栗种子淀粉积累。本研究为CmbZIP基因提供了基础信息，可用于未来的功能分析和育种研究。</t>
        </is>
      </c>
    </row>
    <row r="47">
      <c r="A47" s="2" t="n">
        <v>46</v>
      </c>
      <c r="B47" s="2" t="inlineStr">
        <is>
          <t>046_2023_Genome-wide identification, evolution and expression profiles analysis of bHLH gene family in Ca.md</t>
        </is>
      </c>
      <c r="C47" s="2" t="inlineStr">
        <is>
          <t>2023</t>
        </is>
      </c>
      <c r="D47" s="2" t="inlineStr">
        <is>
          <t>英文</t>
        </is>
      </c>
      <c r="E47" s="2" t="inlineStr">
        <is>
          <t>Genome-wide identification, evolution and expression profiles analysis of bHLH gene family in Castanea mollissima</t>
        </is>
      </c>
      <c r="F47" s="2" t="inlineStr">
        <is>
          <t>板栗bHLH基因家族的全基因组鉴定、进化与表达谱分析</t>
        </is>
      </c>
      <c r="G47" s="2" t="inlineStr">
        <is>
          <t>Liyang Yu, Fei Cao, Dongsheng Wang, et al.</t>
        </is>
      </c>
      <c r="H47" s="2" t="inlineStr">
        <is>
          <t>Frontiers in Genetics</t>
        </is>
      </c>
      <c r="I47" s="2" t="inlineStr">
        <is>
          <t>基因组与基因家族</t>
        </is>
      </c>
      <c r="J47" s="2" t="inlineStr">
        <is>
          <t>基因家族鉴定（bHLH转录因子）</t>
        </is>
      </c>
      <c r="K47" s="2" t="inlineStr">
        <is>
          <t>板栗;bHLH转录因子;基因家族鉴定;基因重复;表达模式</t>
        </is>
      </c>
      <c r="L47" s="2" t="inlineStr">
        <is>
          <t>板栗全基因组（N11-1参考基因组）；'燕龙'品种坚果（花后70、82、94天，河北科技师范学院）；芽（花后20、25、30天）；可育/败育胚珠（7月15、20、25日）</t>
        </is>
      </c>
      <c r="M47" s="2" t="inlineStr">
        <is>
          <t>BLASTP与HMMER结构域搜索；最大似然/邻接/贝叶斯系统进化分析；MEME基序与基因结构分析；PlantCARE顺式作用元件预测；MCScanX共线性与重复模型分析；Ka/Ks计算；NCBI转录组数据挖掘（TPM热图）；qRT-PCR验证；拟南芥原生质体GFP亚细胞定位</t>
        </is>
      </c>
      <c r="N47" s="2" t="inlineStr">
        <is>
          <t>首次在板栗全基因组中鉴定出94个bHLH转录因子基因（CmbHLH1-94），其中88个不均匀分布于12条染色体（8号染色体最多13个、6号最少3个），系统进化将其分为19个亚组。启动子区共检测到1562个顺式作用元件，富含胚乳表达、分生组织表达及赤霉素、生长素、水杨酸响应元件，提示其参与板栗形态建成。比较基因组分析表明分散重复是家族扩张的主要驱动力，Ka/Ks&lt;1显示进化中受纯化选择。转录组与qRT-PCR验证显示：CmbHLH88在芽发育各期持续高表达；CmbHLH55在可育胚珠中表达显著高于败育胚珠，CmbHLH69则相反；CmbHLH25在坚果发育后期表达骤降。85/94个蛋白预测定位于细胞核并经拟南芥原生质体验证。研究为挖掘调控板栗芽、坚果发育与胚珠育性的候选基因奠定基础。</t>
        </is>
      </c>
      <c r="O47" s="2" t="inlineStr">
        <is>
          <t>94个CmbHLH基因分19个亚组;88个基因分布于12条染色体(8号13个最多、6号3个最少);蛋白长159-711 aa、分子量18.0-79.2 kDa、平均pI 6.48;启动子共1562个顺式作用元件;Ka/Ks&lt;1纯化选择;85/94蛋白预测定位于细胞核;CmbHLH55可育胚珠各期TPM&gt;200显著高于败育胚珠、CmbHLH69相反(可育胚珠TPM&lt;50);CmbHLH25坚果花后70天TPM 274.67降至94天1.29;CmbHLH88芽发育各期TPM 138.16/165.03/155.20;板栗雌雄花比例可达1:2400-4000</t>
        </is>
      </c>
      <c r="P47" s="2" t="inlineStr">
        <is>
          <t>板栗雌花少、雄花过多消耗树体营养是限产主因，本研究鉴定的bHLH候选基因（如调控胚珠育性的CmbHLH55/69）为通过分子育种提高雌花数量、改善坚果品质提供了基因资源和理论依据。</t>
        </is>
      </c>
      <c r="Q47" s="5" t="inlineStr">
        <is>
          <t>低</t>
        </is>
      </c>
      <c r="R47" s="2" t="inlineStr">
        <is>
          <t>与015号为同一研究的不同版本（预印本/正式发表）</t>
        </is>
      </c>
      <c r="S47" s="2" t="inlineStr">
        <is>
          <t>基本螺旋-环-螺旋（bHLH）转录因子基因家族是植物中的重要基因家族，参与植物顶端分生组织生长、代谢调控和抗逆性。然而其在中国板栗这一重要坚果中的特征和潜在功能尚未被研究。本研究在板栗基因组中鉴定出94个CmbHLH基因，其中88个不均匀分布于染色体上，其余6个位于5个未锚定scaffold上。几乎所有CmbHLH蛋白被预测定位于细胞核，亚细胞定位实验证实了该预测。基于系统进化分析，全部CmbHLH基因被划分为19个具有不同特征的亚组。在CmbHLH基因上游序列中检测到丰富的胚乳表达、分生组织表达及赤霉素和生长素响应相关顺式作用元件，表明这些基因可能在板栗形态建成中具有潜在功能。比较基因组分析显示分散重复是CmbHLH基因家族扩张的主要驱动力，其进化受纯化选择。转录组分析和qRT-PCR实验表明CmbHLHs在不同板栗组织中表达模式不同，揭示部分成员可能在板栗芽、坚果、可育/败育胚珠发育中具有潜在功能。</t>
        </is>
      </c>
    </row>
    <row r="48">
      <c r="A48" s="2" t="n">
        <v>47</v>
      </c>
      <c r="B48" s="2" t="inlineStr">
        <is>
          <t>047_2023_Genome-wide identification, evolution and transcriptome analysis of GRAS gene family in Chinese .md</t>
        </is>
      </c>
      <c r="C48" s="2" t="inlineStr">
        <is>
          <t>2023</t>
        </is>
      </c>
      <c r="D48" s="2" t="inlineStr">
        <is>
          <t>英文</t>
        </is>
      </c>
      <c r="E48" s="2" t="inlineStr">
        <is>
          <t>Genome-wide identification, evolution and transcriptome analysis of GRAS gene family in Chinese chestnut (Castanea mollissima)</t>
        </is>
      </c>
      <c r="F48" s="2" t="inlineStr">
        <is>
          <t>中国板栗GRAS基因家族的全基因组鉴定、进化与转录组分析</t>
        </is>
      </c>
      <c r="G48" s="2" t="inlineStr">
        <is>
          <t>Liyang Yu, Hui Cai, Ruimin Huang, et al.</t>
        </is>
      </c>
      <c r="H48" s="2" t="inlineStr">
        <is>
          <t>Frontiers in Genetics</t>
        </is>
      </c>
      <c r="I48" s="2" t="inlineStr">
        <is>
          <t>基因组与基因家族</t>
        </is>
      </c>
      <c r="J48" s="2" t="inlineStr">
        <is>
          <t>基因家族鉴定（GRAS转录因子）</t>
        </is>
      </c>
      <c r="K48" s="2" t="inlineStr">
        <is>
          <t>板栗;GRAS转录因子;串联重复;DELLA结构域;基因表达</t>
        </is>
      </c>
      <c r="L48" s="2" t="inlineStr">
        <is>
          <t>板栗全基因组；芽（花后20、25、30天）；可育/败育胚珠（7月15、20、25日）；拟南芥、水稻、葡萄、橡树基因组用于比较分析</t>
        </is>
      </c>
      <c r="M48" s="2" t="inlineStr">
        <is>
          <t>BLAST+HMMER（GRAS结构域PF03514）三步法基因鉴定；最大似然系统进化分析；MEME基序与内含子相位分析；MCScanX共线性与重复模型判别；Ka/Ks选择压力分析；PlantCARE顺式元件分析（10 kb上游）；转录组表达分析（芽、胚珠，TPM热图）；Swiss-Model与AlphaFold2三维结构比较（RMSD）</t>
        </is>
      </c>
      <c r="N48" s="2" t="inlineStr">
        <is>
          <t>首次对板栗GRAS转录因子家族进行全基因组鉴定，共获得48个CmGRAS基因，系统进化分为DELLA、PAT1、SCL3、SHR、SCR、LISCL、HAM、LAS、DLT九个亚家族。CmGRAS基因内含子少（0或1个）且多为0相位，高度保守；串联重复是家族扩张的主要驱动力，12个串联重复基因集中于3号和6号染色体，Ka/Ks&lt;1表明受强纯化选择。转录组分析发现CmGRAS41（LAS亚家族）在芽发育全程持续高表达，且在可育胚珠中表达显著高于败育胚珠；CmGRAS38、CmGRAS48在可育胚珠各期高表达而在败育胚珠中几乎检测不到，提示其与胚珠育性相关。DELLA亚家族成员CmGRAS2缺失DELLA保守结构域及延伸β折叠（与有DELLA结构域成员三维结构RMSD=11.43Å），在所有组织中几乎无转录本，推测其因结构域缺失而功能丧失成为假基因。</t>
        </is>
      </c>
      <c r="O48" s="2" t="inlineStr">
        <is>
          <t>48个CmGRAS基因分9个亚家族;蛋白长365-805 aa、分子量41.3-87.9 kDa、平均pI 5.85;12个串联重复基因分布于Chr3和Chr6(Chr6一簇含9个);Ka/Ks&lt;1强纯化选择;30个成员预测定位细胞核;CmGRAS4与CmGRAS1三维结构RMSD=2.33Å、与CmGRAS2 RMSD=11.43Å;CmGRAS2各样品TPM&lt;0.05几乎无表达;CmGRAS38/48在可育胚珠高表达而败育胚珠几乎检测不到;板栗雌雄花比例1:2400-4000;中国板栗坚果产量约160万吨、占世界83.3%(2020年FAO)</t>
        </is>
      </c>
      <c r="P48" s="2" t="inlineStr">
        <is>
          <t>为板栗芽发育与胚珠育性（结实性）的分子调控机制研究提供基因资源；GRAS/DELLA介导的赤霉素信号与花性别分化密切相关，为通过激素途径调控雌雄花比例、提高板栗产量提供理论参考。</t>
        </is>
      </c>
      <c r="Q48" s="5" t="inlineStr">
        <is>
          <t>低</t>
        </is>
      </c>
      <c r="R48" s="2" t="inlineStr"/>
      <c r="S48" s="2" t="inlineStr">
        <is>
          <t>GRAS转录因子在植物生长发育的多种生物学过程调控中发挥重要作用，但其在营养丰富、经济价值高的中国板栗中的特征和潜在功能仍不清楚。本研究在板栗基因组中鉴定出48个CmGRAS基因，系统进化分析将其分为九个亚家族，各亚家族具有独特的保守结构域和特征。基因组结构显示CmGRAS倾向于具有典型的GRAS结构域和较少的内含子。比较基因组分析表明串联重复对CmGRAS扩张的贡献最大，Ka/Ks分析显示CmGRAS基因经历了强纯化选择压力。基因表达分析揭示部分CmGRAS成员在芽发育和胚珠育性中具有潜在功能。与参考物种具有更多直系同源关系的CmGRAS基因拥有更多顺式作用元件和更高表达水平。值得注意的是，DELLA亚家族成员DELLA结构域的缺失可能导致功能去活化，研究并展示了其三维结构的差异。该研究为GRAS基因家族进化和功能的后续研究提供了理论和实践基础。</t>
        </is>
      </c>
    </row>
    <row r="49">
      <c r="A49" s="2" t="n">
        <v>48</v>
      </c>
      <c r="B49" s="2" t="inlineStr">
        <is>
          <t>048_2023_Hyperspectral imaging-based prediction of soluble sugar content in Chinese chestnuts.md</t>
        </is>
      </c>
      <c r="C49" s="2" t="inlineStr">
        <is>
          <t>2023</t>
        </is>
      </c>
      <c r="D49" s="2" t="inlineStr">
        <is>
          <t>英文</t>
        </is>
      </c>
      <c r="E49" s="2" t="inlineStr">
        <is>
          <t>Hyperspectral imaging-based prediction of soluble sugar content in Chinese chestnuts</t>
        </is>
      </c>
      <c r="F49" s="2" t="inlineStr">
        <is>
          <t>基于高光谱成像的板栗可溶性糖含量预测</t>
        </is>
      </c>
      <c r="G49" s="2" t="inlineStr">
        <is>
          <t>Jinhui Yang, Bangchu Gong, Xibing Jiang</t>
        </is>
      </c>
      <c r="H49" s="2" t="inlineStr">
        <is>
          <t>Frontiers in Forests and Global Change</t>
        </is>
      </c>
      <c r="I49" s="2" t="inlineStr">
        <is>
          <t>果实品质与营养</t>
        </is>
      </c>
      <c r="J49" s="2" t="inlineStr">
        <is>
          <t>品质无损检测（高光谱成像）</t>
        </is>
      </c>
      <c r="K49" s="2" t="inlineStr">
        <is>
          <t>板栗;高光谱成像;可溶性糖;偏最小二乘;无损检测</t>
        </is>
      </c>
      <c r="L49" s="2" t="inlineStr">
        <is>
          <t>浙江兰溪省级板栗种质资源圃112个板栗品种（2012年定植，株行距3×4 m），每品种取10-15个大小一致栗蓬，室温后熟5天后选3个均匀种仁，共336个感兴趣区域（ROI）</t>
        </is>
      </c>
      <c r="M49" s="2" t="inlineStr">
        <is>
          <t>高光谱成像（GaiaSkyMini2-VN，400-1000 nm、176个波段、分辨率3±0.5 nm）；蒽酮比色法测定可溶性糖；集成偏最小二乘（EnPLS）剔除异常样本；SNV/BS/BN/一阶与二阶导数等光谱预处理；bve/rep/sMC三种变量筛选；PLS建模（80%校正集、20%验证集，100次随机模拟）</t>
        </is>
      </c>
      <c r="N49" s="2" t="inlineStr">
        <is>
          <t>针对板栗可溶性糖传统测定费时费力且有破坏性的问题，利用高光谱成像结合化学计量学建立了快速无损预测模型。以112个板栗品种为材料，经集成偏最小二乘剔除异常样本后，比较多种光谱预处理与变量筛选方法，确定块尺度（BS）预处理结合正则化消除（rep）变量筛选的偏最小二乘（PLS）模型效果最佳：校正集R2=0.59、RMSE=1.02，验证集R2=0.66、RMSE=0.94，优于原始光谱及bve、sMC筛选方法。筛选出464.3、503.2、539.3、579和711.3 nm为建模关键波长，将建模波段由176个减至42个。可溶性糖含量低于5%时易被低估、高于7%时易被高估。研究证明高光谱成像可用于板栗可溶性糖的快速无损检测，有助于品质控制、采后分选及品种遗传选择。</t>
        </is>
      </c>
      <c r="O49" s="2" t="inlineStr">
        <is>
          <t>112个品种、336个ROI;BS+rep PLS模型校正集R2=0.59/RMSE=1.02、验证集R2=0.66/RMSE=0.94;关键波长464.3、503.2、539.3、579、711.3 nm;变量筛选后建模波段由176个减至42个;糖含量&lt;5%易低估、&gt;7%易高估;最佳模型残差范围-2.11~1.81;BS预处理后690.6-927.8 nm吸收大幅增加并在927.8 nm达峰;每品种栗蓬室温放置5天后取样、样本-20℃保存</t>
        </is>
      </c>
      <c r="P49" s="2" t="inlineStr">
        <is>
          <t>高光谱无损检测可在数秒内评估板栗可溶性糖（甜味核心指标），替代费时费力的破坏性化学测定，可直接用于育种中高糖优株的快速筛选和采后果品的分级分选、质量控制。</t>
        </is>
      </c>
      <c r="Q49" s="3" t="inlineStr">
        <is>
          <t>中</t>
        </is>
      </c>
      <c r="R49" s="2" t="inlineStr"/>
      <c r="S49" s="2" t="inlineStr">
        <is>
          <t>可溶性糖是果实品质的关键决定因素，在人体营养中发挥重要作用。板栗富含可溶性糖，其甜味即来源于此，但含量随品种、产地和环境条件而变化。传统测定板栗可溶性糖的方法耗时费力且具有破坏性，亟需快速、无损、简便的方法以加快遗传选择进程。本研究旨在建立基于高光谱成像的板栗可溶性糖含量预测模型。首先利用集成偏最小二乘进行异常样本剔除，然后比较平均原始光谱与块尺度（BS）光谱，后者差异显著：BS预处理光谱在403.7~429.1 nm和454.7~500 nm波段出现两个小吸收峰，503.2~687.2 nm波段曲线波动较小，690.6~927.8 nm波段吸收大幅增加。随后采用BS预处理结合正则化消除（rep）变量筛选建立偏最小二乘（PLS）模型，其预测精度优于其他变量筛选方法；光谱处理后模型拟合精度略优于原始光谱，校正集R2为0.59、RMSE为1.02，验证集R2为0.66、RMSE为0.94。464.3、503.2、539.3、579和711.3 nm被确定为建立可溶性糖含量预测模型的关键波长。研究证明了高光谱成像作为快速无损预测板栗可溶性糖含量方法的潜力，有益于食品工业的品质控制和分选。</t>
        </is>
      </c>
    </row>
    <row r="50">
      <c r="A50" s="2" t="n">
        <v>49</v>
      </c>
      <c r="B50" s="2" t="inlineStr">
        <is>
          <t>049_2023_Integrated transcriptome, metabolome and phytohormone analysis reveals developmental differences.md</t>
        </is>
      </c>
      <c r="C50" s="2" t="inlineStr">
        <is>
          <t>2023</t>
        </is>
      </c>
      <c r="D50" s="2" t="inlineStr">
        <is>
          <t>英文</t>
        </is>
      </c>
      <c r="E50" s="2" t="inlineStr">
        <is>
          <t>Integrated transcriptome, metabolome and phytohormone analysis reveals developmental differences between the first and secondary flowering in Castanea mollissima</t>
        </is>
      </c>
      <c r="F50" s="2" t="inlineStr">
        <is>
          <t>转录组、代谢组与植物激素联合分析揭示板栗一次花与二次花发育差异</t>
        </is>
      </c>
      <c r="G50" s="2" t="inlineStr">
        <is>
          <t>Cai Qin, Tingting Du, Ruiyu Zhang, et al.</t>
        </is>
      </c>
      <c r="H50" s="2" t="inlineStr">
        <is>
          <t>Frontiers in Plant Science</t>
        </is>
      </c>
      <c r="I50" s="2" t="inlineStr">
        <is>
          <t>生理与分子机制</t>
        </is>
      </c>
      <c r="J50" s="2" t="inlineStr">
        <is>
          <t>花发育与性别分化（二次开花）</t>
        </is>
      </c>
      <c r="K50" s="2" t="inlineStr">
        <is>
          <t>板栗;二次开花;雌花;性别分化;黄酮类;植物激素</t>
        </is>
      </c>
      <c r="L50" s="2" t="inlineStr">
        <is>
          <t>河北遵化魏进河林场12年生盛果期'遵化短刺'（Zunhuaduanci）板栗（一年两次开花结果，树高冠幅约3 m，栽植密度3×5 m）；春季一次花与夏末二次花的雌花（FMiF/SMiF）、雄花（FMaM/SMaM）样本，各3次生物学重复</t>
        </is>
      </c>
      <c r="M50" s="2" t="inlineStr">
        <is>
          <t>RNA-seq转录组测序；UPLC-MS/MS广泛靶向代谢组（共检测888种代谢物）；UPLC-ESI-MS/MS九大类植物激素（生长素、细胞分裂素、ABA、茉莉酸、水杨酸、赤霉素、乙烯、独脚金内酯、油菜素内酯）定量；DEG/DAM筛选与KEGG富集；Pearson相关调控网络构建；Venn图筛选性别分化候选基因</t>
        </is>
      </c>
      <c r="N50" s="2" t="inlineStr">
        <is>
          <t>以一年两次开花的'遵化短刺'板栗为材料，联合转录组、代谢组和激素分析一次花与二次花发育差异。二次花每结果枝雌花数较一次花显著增加7倍达15个，两性花序增加5倍达9-10个，雄花序显著减少5个，单枝结果约14个（一次花仅约2个）。转录组显示EREBP-like转录因子主要调控二次雌花发育，HSP20主要影响二次雄花发育；147个共同上调基因富集于昼夜节律、类胡萝卜素合成、苯丙烷合成和植物激素信号转导通路。代谢组显示雌花主要差异代谢物为黄酮类和酚酸类，雄花为脂质、黄酮和酚酸类。激素分析表明ABA和水杨酸（SA）含量与二次花形成显著负相关，细胞分裂素IP、tZ、茉莉酸甲酯MEJA和赤霉素GA20显著上调。筛选出MYB305为板栗性别分化候选基因，其通过促进黄酮类物质合成提高雌花数，为提高板栗雌雄花比例、防止二次开花提供理论依据。</t>
        </is>
      </c>
      <c r="O50" s="2" t="inlineStr">
        <is>
          <t>二次花每结果枝雌花数增7倍达15个;两性花序增5倍达9-10个;雄花序显著减少5个;单枝果实14个vs一次花约2个;ABA 306→149 ng/g FW、SA 845→276 ng/g FW显著下调;细胞分裂素IP 0.14→0.76、tZ 0.65→1.71、MEJA 2.52→5.49、GA20 0.11→0.37 ng/g FW显著上调;FMiF vs SMiF 885个上调/1635个下调DEGs;雌雄花共同上调基因147个、下调176个;共同上调代谢物59个、下调149个;候选基因MYB305与15个黄酮类代谢物(如2-O-三没食子酰基葡萄糖苷、槲皮素-3-O-(2'',3''-二没食子酰基)-葡萄糖苷)显著正相关;二次花发育关键通路为昼夜节律-植物、类胡萝卜素合成、苯丙烷合成、植物激素信号转导</t>
        </is>
      </c>
      <c r="P50" s="2" t="inlineStr">
        <is>
          <t>二次开花消耗树体营养、削弱树势并影响翌年产量，生产上应加强夏秋季水肥与树体管理防止二次开花；同时'遵化短刺'二次花雌花比例极高的特性及MYB305-黄酮调控通路的发现，为培育高雌花比例板栗新品种、增加产量提供了新思路。</t>
        </is>
      </c>
      <c r="Q50" s="3" t="inlineStr">
        <is>
          <t>中</t>
        </is>
      </c>
      <c r="R50" s="2" t="inlineStr"/>
      <c r="S50" s="2" t="inlineStr">
        <is>
          <t>背景：板栗是重要木本粮食，花（芽）形成对果实产量和品质影响显著。中国北方一些板栗品种夏末二次开花：一方面二次开花消耗树体大量营养、削弱树势并影响翌年开花；另一方面二次开花单结果枝的雌花数显著高于一次花、可成串结果，因此可用于研究板栗性别分化。方法：测定春季和夏末板栗雄花、雌花的转录组、代谢组和植物激素，分析一次花与二次花发育差异，解析二次花雌花数多于一次花的原因，寻找增加雌花数或减少雄花数的途径。结果：转录组分析显示EREBP-like主要影响二次雌花发育，HSP20主要影响二次雄花发育；KEGG富集显示147个共同差异表达基因主要富集于昼夜节律-植物、类胡萝卜素合成、苯丙烷合成和植物激素信号转导通路。代谢组显示雌花主要差异代谢物为黄酮类和酚酸类，雄花为脂质、黄酮类和酚酸类；这些基因和代谢物与二次花形成正相关。激素分析显示脱落酸（ABA）和水杨酸（SA）与二次花形成负相关。MYB305作为板栗性别分化候选基因，可促进黄酮类物质合成从而增加雌花数。结论：构建了板栗二次花发育调控网络，为板栗生殖发育机制研究提供理论基础，对提高板栗产量和品质具有重要实践意义。</t>
        </is>
      </c>
    </row>
    <row r="51">
      <c r="A51" s="2" t="n">
        <v>50</v>
      </c>
      <c r="B51" s="2" t="inlineStr">
        <is>
          <t>050_2023_Optimization of Processing Technology of Chinese Chestnut Stuffing by Response Surface Methodolo.md</t>
        </is>
      </c>
      <c r="C51" s="2" t="inlineStr">
        <is>
          <t>2023</t>
        </is>
      </c>
      <c r="D51" s="2" t="inlineStr">
        <is>
          <t>英文</t>
        </is>
      </c>
      <c r="E51" s="2" t="inlineStr">
        <is>
          <t>Optimization of Processing Technology of Chinese Chestnut Stuffing by Response Surface Methodology</t>
        </is>
      </c>
      <c r="F51" s="2" t="inlineStr">
        <is>
          <t>响应面法优化板栗馅料加工工艺</t>
        </is>
      </c>
      <c r="G51" s="2" t="inlineStr">
        <is>
          <t>Yuhua Zhao, Xueying Guo, Jie Lu, et al.</t>
        </is>
      </c>
      <c r="H51" s="2" t="inlineStr">
        <is>
          <t>BIO Web of Conferences (BFS 2022)</t>
        </is>
      </c>
      <c r="I51" s="2" t="inlineStr">
        <is>
          <t>加工与贮藏</t>
        </is>
      </c>
      <c r="J51" s="2" t="inlineStr">
        <is>
          <t>馅料加工工艺优化</t>
        </is>
      </c>
      <c r="K51" s="2" t="inlineStr">
        <is>
          <t>板栗馅料;响应面法;感官评分;薏米;红豆;枣泥</t>
        </is>
      </c>
      <c r="L51" s="2" t="inlineStr">
        <is>
          <t>'早丰'（Early Rich）板栗品种（购自河北迁西板栗示范基地）；市售薏米、红豆、红枣</t>
        </is>
      </c>
      <c r="M51" s="2" t="inlineStr">
        <is>
          <t>单因素试验（成熟度、颗粒粒径、薏米/红豆/枣泥添加量）；L9(3^4)正交试验；Box-Behnken响应面优化（Design-Expert 8.0.6）；15人感官加权评分（口感40%+香气30%+成型性30%）</t>
        </is>
      </c>
      <c r="N51" s="2" t="inlineStr">
        <is>
          <t>以'早丰'板栗为原料，通过单因素试验、正交试验和Box-Behnken响应面法优化无油炸颗粒状板栗馅料配方。单因素确定板栗蒸至五至七分熟、破碎至4-6目时制馅效果最佳（全熟淀粉完全糊化易粘容器、影响利用率）；正交试验得较优组合为薏米9 g/25 g板栗、红豆10 g/25 g、枣泥7 g/25 g，因素影响主次为薏米&gt;枣泥&gt;红豆。响应面回归方程显著（P=0.0002、F=24.49），R2=0.9692、变异系数CV=0.023，拟合良好。最终优化工艺为五至七分熟、4-6目板栗丁与薏米8.96 g/25 g、红豆9.77 g/25 g、枣泥7.37 g/25 g复配，理论感官评分8.32分，验证试验8.28分，误差仅0.48%，参数准确可靠。该产品甜香浓郁、营养互补且不添加烹调油，为板栗深加工增值和产品多样化提供工艺参考。</t>
        </is>
      </c>
      <c r="O51" s="2" t="inlineStr">
        <is>
          <t>板栗五至七分熟、4-6目粒径制馅最佳;最优配比薏米8.96 g/25 g板栗、红豆9.77 g/25 g、枣泥7.37 g/25 g;回归模型R2=0.9692、CV=0.023、P=0.0002、F=24.49;理论感官评分8.32分、验证实测8.28分、误差0.48%;因素影响主次薏米&gt;枣泥&gt;红豆;感官评分=口感40%+香气30%+成型性30%;薏米红豆需浸泡6 h以上煮熟打泥、红枣蒸制去皮去核打泥</t>
        </is>
      </c>
      <c r="P51" s="2" t="inlineStr">
        <is>
          <t>提供了免油炸板栗颗粒馅料的完整工艺参数（蒸制程度、破碎粒径、辅料配比），可直接用于板栗馅料包子、烘焙等产品的产业化生产，有助于破解板栗加工产品种类少、转化率低的难题，提升板栗原料附加值。</t>
        </is>
      </c>
      <c r="Q51" s="4" t="inlineStr">
        <is>
          <t>高</t>
        </is>
      </c>
      <c r="R51" s="2" t="inlineStr"/>
      <c r="S51" s="2" t="inlineStr">
        <is>
          <t>[目的]为丰富板栗产品种类、促进板栗原料转化增值，研发板栗馅料加工方法并优化复配工艺，为板栗馅料产业化发展提供参考。[方法]通过单因素试验优化板栗成熟度、颗粒粒径、薏米添加量、红豆添加量和枣泥添加量；在此基础上对薏米、红豆、枣泥添加量进行正交试验；再采用响应面法分析Box-Behnken试验结果。[结果]确定板栗蒸至五至七分熟、破碎至4-6目粒径时，薏米最优添加量为10 g/25 g板栗、红豆10 g/25 g、枣泥6 g/25 g。正交试验表明薏米9 g/25 g、红豆10 g/25 g、枣泥7 g/25 g复配效果更佳。响应面分析得到回归方程Y（感官评分）=8.2-0.27χ1-0.059χ2+0.26χ3-0.22χ1χ2+0.062χ1χ3-0.46χ2χ3-0.81χ1²-0.41χ2²-0.32χ3²，模型变异系数低（CV=0.023），方程拟合良好、可信度高。[结论]五至七分熟蒸制、4-6目破碎的板栗丁与薏米8.96 g/25 g、红豆9.77 g/25 g、枣泥7.37 g/25 g复配可获得优质板栗馅料，理论值（8.32分）与试验值（8.28分）误差小（0.48%），表明优化参数准确、具有实用价值。</t>
        </is>
      </c>
    </row>
    <row r="52">
      <c r="A52" s="2" t="n">
        <v>51</v>
      </c>
      <c r="B52" s="2" t="inlineStr">
        <is>
          <t>051_2023_Physicochemical Properties and Antitumor Activities of Polysaccharides Separated from Chinese Ch.md</t>
        </is>
      </c>
      <c r="C52" s="2" t="inlineStr">
        <is>
          <t>2023</t>
        </is>
      </c>
      <c r="D52" s="2" t="inlineStr">
        <is>
          <t>英文</t>
        </is>
      </c>
      <c r="E52" s="2" t="inlineStr">
        <is>
          <t>Physicochemical Properties and Antitumor Activities of Polysaccharides Separated from Chinese Chestnut by Membrane Filtration</t>
        </is>
      </c>
      <c r="F52" s="2" t="inlineStr">
        <is>
          <t>膜过滤分离板栗多糖的理化性质与抗肿瘤活性</t>
        </is>
      </c>
      <c r="G52" s="2" t="inlineStr">
        <is>
          <t>Tianxing Shi, Jinyan Xue, Yueying Wang, et al.（通讯作者Kui Niu，河北科技师范学院）</t>
        </is>
      </c>
      <c r="H52" s="2" t="inlineStr">
        <is>
          <t>Advances in Food Science and Human Nutrition, 2023, 5(1): 69-76</t>
        </is>
      </c>
      <c r="I52" s="2" t="inlineStr">
        <is>
          <t>生物活性与功效</t>
        </is>
      </c>
      <c r="J52" s="2" t="inlineStr">
        <is>
          <t>板栗多糖分离纯化与抗肿瘤活性</t>
        </is>
      </c>
      <c r="K52" s="2" t="inlineStr">
        <is>
          <t>板栗多糖;膜分离;理化性质;抗肿瘤活性;单糖组成</t>
        </is>
      </c>
      <c r="L52" s="2" t="inlineStr">
        <is>
          <t>河北秦皇岛青龙县'燕丰'品种板栗仁（燕山板栗，40目粉碎-20℃保存）；HeLa和A549人肿瘤细胞系</t>
        </is>
      </c>
      <c r="M52" s="2" t="inlineStr">
        <is>
          <t>热水提取（料水比1:15、80℃、2h两次）；0.1μm微滤-3000Da超滤-300Da纳滤组合膜分离；DEAE-Sepharose FF柱层析梯度洗脱；FTIR红外光谱、SEM扫描电镜、TG热重分析；HPAEC-PAD离子色谱测单糖组成；HPSEC测分子量；CCK-8法检测肿瘤细胞增殖抑制</t>
        </is>
      </c>
      <c r="N52" s="2" t="inlineStr">
        <is>
          <t>采用热水提取结合微滤(0.1μm)、超滤(3000Da)、纳滤(300Da)膜分离和DEAE-Sepharose FF柱层析，从燕山板栗'燕丰'中分离纯化出纯度95.20%的中性多糖N-CP。该多糖主要由葡萄糖、半乳糖、阿拉伯糖组成（摩尔比83.27:8.35:7.72），并含微量甘露糖，重均分子量482.34 kDa，分布较窄（多分散系数2.81），具有典型多糖红外吸收特征和良好热稳定性。CCK-8实验显示N-CP对Hela和A549肿瘤细胞增殖有显著剂量依赖性抑制作用，IC50分别为35.45 μg/mL和25.94 μg/mL。该研究建立了高效提取纯化板栗功能多糖的方法，为板栗功能食品和抗肿瘤药物开发奠定基础。</t>
        </is>
      </c>
      <c r="O52" s="2" t="inlineStr">
        <is>
          <t>粗多糖经DEAE柱水洗脱为主峰（中性多糖为主，NaCl洗脱峰面积均&lt;18%）；N-CP糖含量95.20%、蛋白质1.35%、糖醛酸0.11%；单糖摩尔比阿拉伯糖:半乳糖:葡萄糖:甘露糖=7.72:8.35:83.27:0.66；Mn=171.60 kDa、Mw=482.34 kDa、Mz=2520.41 kDa、多分散系数2.81；热分析72℃失水峰、184℃第二失重峰（失重率50.70%）、700℃残余32.85%；250 μg/mL时对A549抑制率&gt;85%、对Hela&gt;75%；IC50：Hela 35.45 μg/mL、A549 25.94 μg/mL</t>
        </is>
      </c>
      <c r="P52" s="2" t="inlineStr">
        <is>
          <t>提供板栗深加工高值化路径：膜分离+柱层析可规模制备高纯度板栗多糖，用于功能食品开发；为'板栗多糖有何保健功效'类问题提供抗肿瘤活性科学依据。</t>
        </is>
      </c>
      <c r="Q52" s="3" t="inlineStr">
        <is>
          <t>中</t>
        </is>
      </c>
      <c r="R52" s="2" t="inlineStr"/>
      <c r="S52" s="2" t="inlineStr">
        <is>
          <t>板栗兼具营养与保健双重属性，富含多糖成分。本研究采用热水提取法提取板栗仁中水溶性糖类成分，提取液经膜分离和柱层析分离纯化，获得纯度95.20%的中性多糖N-CP。N-CP具有典型多糖化合物的红外吸收特征，主要由阿拉伯糖、半乳糖和葡萄糖组成，重均分子量482.34 kDa。采用CCK-8法评价N-CP对Hela和A549癌细胞系的抗增殖活性，IC50分别为35.45 μg/mL和25.94 μg/mL。结果为板栗功能多糖的提取纯化提供了高效方法，为其在功能食品和抗肿瘤药物中的应用奠定基础。</t>
        </is>
      </c>
    </row>
    <row r="53">
      <c r="A53" s="2" t="n">
        <v>52</v>
      </c>
      <c r="B53" s="2" t="inlineStr">
        <is>
          <t>052_2023_Transcriptome analysis of differential sugar accumulation in the developing embryo of contrastin.md</t>
        </is>
      </c>
      <c r="C53" s="2" t="inlineStr">
        <is>
          <t>2023</t>
        </is>
      </c>
      <c r="D53" s="2" t="inlineStr">
        <is>
          <t>英文</t>
        </is>
      </c>
      <c r="E53" s="2" t="inlineStr">
        <is>
          <t>Transcriptome analysis of differential sugar accumulation in the developing embryo of contrasting two Castanea mollissima cultivars</t>
        </is>
      </c>
      <c r="F53" s="2" t="inlineStr">
        <is>
          <t>两个板栗品种胚发育过程中糖分差异积累的转录组分析</t>
        </is>
      </c>
      <c r="G53" s="2" t="inlineStr">
        <is>
          <t>Huang Ruimin, Peng Fei, Wang Dongsheng, et al.（通讯作者Yuedong Yang，河北科技师范学院板栗产业技术教育部工程研究中心）</t>
        </is>
      </c>
      <c r="H53" s="2" t="inlineStr">
        <is>
          <t>Frontiers in Plant Science, 2023, 14:1206585</t>
        </is>
      </c>
      <c r="I53" s="2" t="inlineStr">
        <is>
          <t>生理与分子机制</t>
        </is>
      </c>
      <c r="J53" s="2" t="inlineStr">
        <is>
          <t>胚发育糖分积累与淀粉-蔗糖代谢调控</t>
        </is>
      </c>
      <c r="K53" s="2" t="inlineStr">
        <is>
          <t>糖分积累;蔗糖;淀粉降解;ABA;转录组;胚发育</t>
        </is>
      </c>
      <c r="L53" s="2" t="inlineStr">
        <is>
          <t>高糖品种'燕龙'(HS)与低糖品种'燕山早丰'(LS)，河北板栗基地11年生树（118°80′E，40°13′N），花后60、70、80、90、100天(DAF)的种胚</t>
        </is>
      </c>
      <c r="M53" s="2" t="inlineStr">
        <is>
          <t>GC-MS糖代谢组学（检测32种糖代谢物）；Illumina NovaSeq 6000转录组测序（30个文库，42,740个unigenes）；WGCNA基因共表达网络；蒽酮比色法测蔗糖、双波长法测直/支链淀粉；SUS酶活性测定；ELISA测ABA含量；qPCR验证（R2=0.74）</t>
        </is>
      </c>
      <c r="N53" s="2" t="inlineStr">
        <is>
          <t>以高糖品种'燕龙'和低糖品种'燕山早丰'为材料，对花后60-100天胚的糖代谢进行代谢组与转录组联合分析。共检出30种糖代谢物，成熟胚可溶性糖以蔗糖为主；成熟期高糖品种可溶性糖含量(9%)为低糖品种的1.5倍。高糖品种在90-100 DAF上调淀粉降解基因（如GWD）和蔗糖合成基因（如SUS3），蔗糖合酶(SUS)合成方向酶活性显著更高，表明淀粉降解是成熟期可溶性糖增加的重要途径。共表达网络显示ABA和过氧化物与板栗成熟期淀粉分解相关，作者初步建立了板栗胚中蔗糖-淀粉转化调控模型，为提高板栗含糖量的品种改良提供新思路。</t>
        </is>
      </c>
      <c r="O53" s="2" t="inlineStr">
        <is>
          <t>成熟期HS可溶性糖含量9%，为LS的1.5倍；HS 90-100 DAF可溶性糖由6.46%升至6.84%，支链淀粉由56.03%降至44.77%；成熟胚蔗糖含量&gt;38.67 mg/g（LS）和57.44 mg/g（HS），葡萄糖/果糖60 DAF时&gt;87 mg/g、80-100 DAF骤降至&lt;3.68 mg/g；100 DAF时HS干重6.77 g，比LS重0.49 g；共鉴定14,430个DEGs；淀粉合成相关unigene 66个、降解相关33个；板栗中鉴定8个SUS基因（3个SUS2、1个SUS3、2个SUS4、2个SUS6）；SUS合成方向酶活性90-100 DAF HS显著高于LS；90 DAF时HS的ABA含量高于LS；COR与GWD共表达</t>
        </is>
      </c>
      <c r="P53" s="2" t="inlineStr">
        <is>
          <t>解释'燕龙'为何比'燕山早丰'甜：高糖品种成熟期淀粉更多转化为蔗糖；成熟期低温和晚熟特性与糖分积累相关，为高糖品种选择和采收期确定提供依据。</t>
        </is>
      </c>
      <c r="Q53" s="3" t="inlineStr">
        <is>
          <t>中</t>
        </is>
      </c>
      <c r="R53" s="2" t="inlineStr"/>
      <c r="S53" s="2" t="inlineStr">
        <is>
          <t>中国板栗是重要坚果树种，其胚富含糖分。本研究结合代谢组与转录组数据分析两个板栗品种花后60、70、80、90、100天(DAF)胚中与糖相关的代谢物和基因。成熟期高糖品种可溶性糖含量为低糖品种的1.5倍。胚中鉴定出30种糖代谢物，以蔗糖为主。基因表达模式分析表明，高糖品种在90-100 DAF通过上调淀粉降解和蔗糖合成相关基因促进淀粉向蔗糖转化，并显著提高SUS合成方向酶活性，可能促进蔗糖合成。基因共表达网络分析显示ABA和过氧化物与板栗成熟过程中的淀粉分解相关。本研究分析了板栗胚中糖的组成和分子合成机制，为板栗坚果高糖积累的调控模式提供了新见解。</t>
        </is>
      </c>
    </row>
    <row r="54">
      <c r="A54" s="2" t="n">
        <v>53</v>
      </c>
      <c r="B54" s="2" t="inlineStr">
        <is>
          <t>053_2023_Transcriptome analysis reveals key genes involved in the resistance to Cryphonectria parasitica .md</t>
        </is>
      </c>
      <c r="C54" s="2" t="inlineStr">
        <is>
          <t>2023</t>
        </is>
      </c>
      <c r="D54" s="2" t="inlineStr">
        <is>
          <t>英文</t>
        </is>
      </c>
      <c r="E54" s="2" t="inlineStr">
        <is>
          <t>Transcriptome analysis reveals key genes involved in the resistance to Cryphonectria parasitica during early disease development in Chinese chestnut</t>
        </is>
      </c>
      <c r="F54" s="2" t="inlineStr">
        <is>
          <t>转录组分析揭示中国板栗早期抗栗疫病的关键基因</t>
        </is>
      </c>
      <c r="G54" s="2" t="inlineStr">
        <is>
          <t>Nie Xinghua, Zhao Shuqing, Hao Yaqiong, et al.（通讯作者Yu Xing、Ling Qin，北京林业大学/北京农学院）</t>
        </is>
      </c>
      <c r="H54" s="2" t="inlineStr">
        <is>
          <t>BMC Plant Biology, 2023, 23:79</t>
        </is>
      </c>
      <c r="I54" s="2" t="inlineStr">
        <is>
          <t>病虫害防治</t>
        </is>
      </c>
      <c r="J54" s="2" t="inlineStr">
        <is>
          <t>栗疫病早期抗性分子机制</t>
        </is>
      </c>
      <c r="K54" s="2" t="inlineStr">
        <is>
          <t>栗疫病;板栗抗性;转录组;茉莉酸;几丁质酶</t>
        </is>
      </c>
      <c r="L54" s="2" t="inlineStr">
        <is>
          <t>抗病野生板栗资源'HBY-1'（2015年嫁接于北京怀柔板栗技术推广站）二年生枝条；栗疫病菌强毒株EP155；抗病品种'燕红'用于qRT-PCR验证</t>
        </is>
      </c>
      <c r="M54" s="2" t="inlineStr">
        <is>
          <t>半薄切片与扫描电镜观察接种后3、6、9、12h侵染过程；Illumina HiSeq6000转录组测序（接种组与划伤对照组0/3/9h，各3重复，共15个文库）；DESeq差异基因分析；KEGG富集与通路网络分析；qRT-PCR验证20个基因</t>
        </is>
      </c>
      <c r="N54" s="2" t="inlineStr">
        <is>
          <t>通过电镜观察和转录组分析揭示中国板栗对栗疫病菌(Cryphonectria parasitica)的早期防御机制。确定接种后9小时为关键侵染期(CPI)：0-6h病菌主要在伤口处增殖，9h菌丝大量侵入韧皮部和形成层细胞间隙，寄主细胞开始降解并发生超敏反应。接种9h与对照间鉴定283个差异基因，主要富集于次生代谢物合成、苯丙烷生物合成、氨基糖与核苷酸糖代谢、光合作用以及植物-病原互作和MAPK信号转导等通路，两类通路通过磷脂酰肌醇信号系统、植物激素信号和α-亚麻酸代谢途径相连。茉莉酸(JA)生物合成与代谢通路整体被显著激活（AOS、ACX、DOX、OPR、JMT、DAD、JAR等上调），7个几丁质酶基因显著上调，表明JA途径和几丁质酶在板栗早期抗栗疫病中发挥关键作用。</t>
        </is>
      </c>
      <c r="O54" s="2" t="inlineStr">
        <is>
          <t>接种后9h为关键侵染期，12h时伤口处形成大量菌丝团；T9h vs Mock9h共283个DEGs（192上调、91下调），T3h vs Mock3h仅63个DEGs；9h时7个几丁质酶基因、8个苯丙烷途径基因（4个过氧化物酶基因等）、9个JA途径基因显著上调；9个LHCA/LHCB光合天线蛋白基因下调（光合减弱）；PTI反应基因（CNGC、CALM/CML、WRKY22/33、FRK、CPK、RBOHD）激活，ETI的R基因在9h内未激活；JA途径激活在抗病品种'燕红'中得到验证；栗疫病曾毁约40亿株美洲栗，近年中国栗园发病率仍高达60%（南方尤甚）</t>
        </is>
      </c>
      <c r="P54" s="2" t="inlineStr">
        <is>
          <t>阐明板栗抗栗疫病的早期分子机制，JA和几丁质酶是关键抗性因子；提示生产上可通过促进抗病品种种植和伤口管理（病菌经伤口侵染）防控栗疫病，为抗病育种提供候选基因。</t>
        </is>
      </c>
      <c r="Q54" s="3" t="inlineStr">
        <is>
          <t>中</t>
        </is>
      </c>
      <c r="R54" s="2" t="inlineStr"/>
      <c r="S54" s="2" t="inlineStr">
        <is>
          <t>栗疫病由Cryphonectria parasitica引起，是栗属最严重的枝干病害，20世纪初以来曾重创美洲栗和大部分欧洲栗，而中国板栗对栗疫病具有强抗性。为探索中国板栗对栗疫病菌的早期防御，本研究观察了C. parasitica早期侵染过程，并对抗栗疫病野生资源'HBY-1'接种后0、3、9小时的枝条进行RNA测序转录组分析。结果发现9小时是板栗受C. parasitica侵染的关键时期。转录组分析共鉴定283个差异表达基因，主要分为两大类：一类为代谢相关通路（次生代谢物合成、苯丙烷生物合成、氨基糖和核苷酸糖代谢、光合作用），另一类与植物-病原互作和MAPK信号转导相关。值得注意的是，JA生物合成和代谢通路相关基因显著上调，表明板栗在栗疫病侵染早期整个JA代谢通路被激活。这些结果有助于验证板栗抗栗疫病的关键基因。</t>
        </is>
      </c>
    </row>
    <row r="55">
      <c r="A55" s="2" t="n">
        <v>54</v>
      </c>
      <c r="B55" s="2" t="inlineStr">
        <is>
          <t>054_2023_现代林业技术改良老品种板栗种植技术研究.md</t>
        </is>
      </c>
      <c r="C55" s="2" t="inlineStr">
        <is>
          <t>2023</t>
        </is>
      </c>
      <c r="D55" s="2" t="inlineStr">
        <is>
          <t>中文</t>
        </is>
      </c>
      <c r="E55" s="2" t="inlineStr">
        <is>
          <t>现代林业技术改良老品种板栗种植技术研究</t>
        </is>
      </c>
      <c r="F55" s="2" t="inlineStr">
        <is>
          <t>现代林业技术改良老品种板栗种植技术研究</t>
        </is>
      </c>
      <c r="G55" s="2" t="inlineStr">
        <is>
          <t>卢春田（丹东市农业农村发展服务中心，辽宁丹东118001）</t>
        </is>
      </c>
      <c r="H55" s="2" t="inlineStr">
        <is>
          <t>农业科技与发展, 2023, 2(3): 100-102</t>
        </is>
      </c>
      <c r="I55" s="2" t="inlineStr">
        <is>
          <t>栽培与土壤管理</t>
        </is>
      </c>
      <c r="J55" s="2" t="inlineStr">
        <is>
          <t>老品种板栗栽培技术改良（园地选择、水肥、修剪、嫁接、采收贮藏）</t>
        </is>
      </c>
      <c r="K55" s="2" t="inlineStr">
        <is>
          <t>老品种板栗;现代林业技术;种植技术改良;授粉树配置;采收贮藏</t>
        </is>
      </c>
      <c r="L55" s="2" t="inlineStr">
        <is>
          <t>老品种板栗园（辽宁丹东地区），实生繁殖与嫁接板栗树；涉及品种繁杂（单园多达30-50种，成熟期相差15-22天）的现状</t>
        </is>
      </c>
      <c r="M55" s="2" t="inlineStr">
        <is>
          <t>文献综述与种植实践经验总结，围绕园地选择与授粉树配置、密植与水肥管理、修剪、嫁接、采收贮藏等环节提出技术改良措施</t>
        </is>
      </c>
      <c r="N55" s="2" t="inlineStr">
        <is>
          <t>针对老品种板栗实生繁殖产量质量不均、品种繁杂（成熟期相差15-22天）、管理粗放、机械化程度低、易发生空苞等问题，系统总结现代林业技术改良措施：选择排水良好、地下水位低的沙质土壤建园并避开盐碱地与风口，授粉树保持13%以上且品种多样化（处暑红授粉效果好）；平原亩栽35株、山区50株，计划密植70-105株并逐步间伐；以秋施土杂肥为主，配合早春夏季追肥和根外追肥（0.2%磷酸二氢钾、0.4%硼砂等）解决空苞；冬剪与夏剪结合促雌花形成；春季砧木萌动期插皮接嫁接换优；拾栗法或打栗法采收，及时发汗脱粒，采后1个月为腐烂危险期，需沙藏并定期翻动。推广上述技术可显著提升老品种板栗的产量、品质和经济效益。</t>
        </is>
      </c>
      <c r="O55" s="2" t="inlineStr">
        <is>
          <t>板栗果肉中糖分和淀粉占71.3%，蛋白质约8%，含维生素C、B1及胡萝卜素，被誉为'干果之王'；板栗最适生长温度11.6-22.3℃，最适土壤pH 5-6，需充足阳光；授粉树占比应≥13%，处暑红授粉效果显著；栽植密度：平原约35株/亩、山区约50株/亩、计划密植70-105株/亩；春季新栽树每株施尿素0.4kg、成龄树2.3kg；叶色由黄转绿时喷0.4%尿素+0.4%硼砂；采收前30天每隔12天喷0.2%磷酸二氢钾；土壤施肥每株穴施过磷酸钙1.2kg+尿素0.4kg+硼砂0.4kg可解决空苞；新梢长至32cm摘心、一年摘心3次；根外追肥（尿素+磷酸二氢钾+硼砂各0.4%）每9天1次；发汗处理栗苞铺25cm厚、3天内降温脱粒；沙藏栗:沙=1:5、堆高35cm、湿沙厚11cm，前期每4天翻动一次、半月后每7天一次；苗木选地径0.8cm以上、根系发达、无病虫害壮苗；穴种孔45×45cm、施腐熟有机肥4.2kg；主要害虫有天牛、金龟子、桃蛀螟</t>
        </is>
      </c>
      <c r="P55" s="2" t="inlineStr">
        <is>
          <t>直接指导栗农改良老品种板栗园：授粉树配置、密植与间伐、秋施基肥配硼砂防空苞、冬夏修剪促雌花、春季插皮接换优、科学采收与沙藏保鲜，可显著提高产量、品质与收益。</t>
        </is>
      </c>
      <c r="Q55" s="4" t="inlineStr">
        <is>
          <t>高</t>
        </is>
      </c>
      <c r="R55" s="2" t="inlineStr"/>
      <c r="S55" s="2" t="inlineStr">
        <is>
          <t>随着社会科技的发展，现代农林技术体系不断完善，板栗作为日常生活中常见的一种干果，不仅含有很多有益于人体的微量元素，而且味道还很甘甜，深受人们的喜欢。经种植实践，板栗不仅适应性强，而且拥有极高的药用价值。然而，老品种板栗种植技术存在很多不足，很难满足现代林业的发展需求，伴随林业科技的进步，板栗种植技术有了一定的改良空间。针对此，本文围绕现代林业技术改良老品种板栗种植技术进行了分析和探讨，以期促进我国林业生产效率与效益的提升。</t>
        </is>
      </c>
    </row>
    <row r="56">
      <c r="A56" s="2" t="n">
        <v>55</v>
      </c>
      <c r="B56" s="2" t="inlineStr">
        <is>
          <t>055_2022_Beta-Amylase and Phosphatidic Acid Involved in Recalcitrant Seed Germination of Chinese Chestnut.md</t>
        </is>
      </c>
      <c r="C56" s="2" t="inlineStr">
        <is>
          <t>2022</t>
        </is>
      </c>
      <c r="D56" s="2" t="inlineStr">
        <is>
          <t>英文</t>
        </is>
      </c>
      <c r="E56" s="2" t="inlineStr">
        <is>
          <t>Beta-Amylase and Phosphatidic Acid Involved in Recalcitrant Seed Germination of Chinese Chestnut</t>
        </is>
      </c>
      <c r="F56" s="2" t="inlineStr">
        <is>
          <t>β-淀粉酶与磷脂酸参与中国板栗顽拗性种子的萌发</t>
        </is>
      </c>
      <c r="G56" s="2" t="inlineStr">
        <is>
          <t>Liu Yang, Zhang Yu, Zheng Yi, et al.（通讯作者Ling Qin、Yu Xing，北京农学院）</t>
        </is>
      </c>
      <c r="H56" s="2" t="inlineStr">
        <is>
          <t>Frontiers in Plant Science, 2022, 13:828270</t>
        </is>
      </c>
      <c r="I56" s="2" t="inlineStr">
        <is>
          <t>基因组与基因家族</t>
        </is>
      </c>
      <c r="J56" s="2" t="inlineStr">
        <is>
          <t>基因组结构变异与顽拗性种子萌发机制</t>
        </is>
      </c>
      <c r="K56" s="2" t="inlineStr">
        <is>
          <t>顽拗性种子;种子萌发;结构变异;β-淀粉酶;磷脂酸;ABA</t>
        </is>
      </c>
      <c r="L56" s="2" t="inlineStr">
        <is>
          <t>野生板栗HBY_2与栽培品种'京暑红'(N11_1)成熟种子；60份板栗材料（28份野生、32份栽培）用于结构变异基因分型</t>
        </is>
      </c>
      <c r="M56" s="2" t="inlineStr">
        <is>
          <t>Hi-C辅助组装野生板栗染色体级别基因组V2（33,991个蛋白编码基因）；野生与栽培基因组比较检测113,524个结构变异(SVs)；60份材料SV基因分型与选择分析（FST、π、XP-CLR）；萌发期S1-S3种胚转录组测序（Illumina HiSeq 4000）；ELISA测内源激素；α/β-淀粉酶活性测定</t>
        </is>
      </c>
      <c r="N56" s="2" t="inlineStr">
        <is>
          <t>通过组装野生板栗染色体级别基因组，在野生(V2)与栽培(N11_1)基因组间检测到113,524个结构变异，并对60份板栗材料（28野生、32栽培）基因分型，4,892个SVs在驯化中受强烈选择，涉及4,673个基因。栽培种种子萌发率(89%)显著高于野生种(43%)，胚根伸出更快（96h对216h）。转录组与激素测定表明，栽培种ABA合成基因（ABA2、NCED2/5、NCED3/9、AAO3）受选择且表达下调、内源ABA含量显著降低，β-淀粉酶基因BMY4、BMY7在栽培种萌发期显著高表达且β-淀粉酶活性显著更高，与栽培种高萌发率相关；萌发负调控基因PIL5在野生种高表达。此外，磷脂酸合成基因（PLD1、GPAT9、LPAT5、ATS1等）在野生种萌发期高表达，可能与顽拗性种子的脱水敏感性有关。该研究为提高顽拗性种子萌发率和促进森林天然更新提供新思路。</t>
        </is>
      </c>
      <c r="O56" s="2" t="inlineStr">
        <is>
          <t>栽培种萌发率89%对野生种43%（P&lt;0.05）；胚根伸出时间：栽培种96h、野生种216h；野生种种子吸胀前含水量46%、栽培种52%；共检测113,524个indels（87.7%&lt;100bp），4,892个SVs受显著选择、影响4,673个基因；AMY3启动子599bp缺失频率：野生63.64%、栽培16.13%；BMY7基因11bp缺失频率：野生85.19%、栽培30.00%；LPAT9基因45bp缺失频率：野生76.19%、栽培12.50%；野生种萌发S3期内源ABA含量显著高于栽培种，其他激素无显著差异；栽培种S3期β-淀粉酶活性显著高于野生种、α-淀粉酶无显著差异；野生种ABA4、ABA2、NCED2/5、NCED3/9、AAO3显著上调；板栗种子干重含淀粉46-64%、可溶性糖12-22%、脂类0.27-0.64%</t>
        </is>
      </c>
      <c r="P56" s="2" t="inlineStr">
        <is>
          <t>板栗为顽拗性种子，干燥和低温贮藏会迅速丧失发芽力，采种育苗须保湿沙藏；栽培种萌发率高、出苗快，指导育苗用种选择与森林生态修复播种。</t>
        </is>
      </c>
      <c r="Q56" s="3" t="inlineStr">
        <is>
          <t>中</t>
        </is>
      </c>
      <c r="R56" s="2" t="inlineStr"/>
      <c r="S56" s="2" t="inlineStr">
        <is>
          <t>中国板栗是具顽拗性种子的重要坚果和森林生态服务树种。顽拗性种子在自然生境中萌发率低，干燥和低温条件下萌发率下降。栽培板栗种子的萌发率显著高于野生种子。为探明栽培种子萌发率较高的原因，本研究通过基因组比较在野生与栽培板栗基因组间检测到113,524个结构变异；对60份板栗材料这些SVs进行基因分型，鉴定出驯化过程中等位基因频率的变化，部分SVs与控制种子萌发的基因重叠。转录组分析揭示栽培种强选择基因中ABA合成基因下调、β-淀粉酶基因上调；激素和酶活性测定表明栽培种子内源ABA水平降低、β-淀粉酶活性升高。此外，磷脂酸合成基因在野生板栗种子萌发阶段高表达，可能在顽拗性种子萌发中发挥作用。这些发现为野生种子萌发调控提供新见解，并促进森林生态系统的天然更新与演替。</t>
        </is>
      </c>
    </row>
    <row r="57">
      <c r="A57" s="2" t="n">
        <v>56</v>
      </c>
      <c r="B57" s="2" t="inlineStr">
        <is>
          <t>056_2022_Effect of boron toxicity on pollen tube cell wall architecture and the relationship of cell wall.md</t>
        </is>
      </c>
      <c r="C57" s="2" t="inlineStr">
        <is>
          <t>2022</t>
        </is>
      </c>
      <c r="D57" s="2" t="inlineStr">
        <is>
          <t>英文</t>
        </is>
      </c>
      <c r="E57" s="2" t="inlineStr">
        <is>
          <t>Effect of boron toxicity on pollen tube cell wall architecture and the relationship of cell wall components of Castanea mollissima Blume</t>
        </is>
      </c>
      <c r="F57" s="2" t="inlineStr">
        <is>
          <t>硼毒害对板栗花粉管细胞壁架构的影响及细胞壁组分间的关系</t>
        </is>
      </c>
      <c r="G57" s="2" t="inlineStr">
        <is>
          <t>Zhang Weiwei, Zhang Qing, Xing Yu, et al.（通讯：Qin Ling, Fang Kefeng，北京农学院）</t>
        </is>
      </c>
      <c r="H57" s="2" t="inlineStr">
        <is>
          <t>Frontiers in Plant Science, 13:946781</t>
        </is>
      </c>
      <c r="I57" s="2" t="inlineStr">
        <is>
          <t>生理与分子机制</t>
        </is>
      </c>
      <c r="J57" s="2" t="inlineStr">
        <is>
          <t>硼素营养与花粉管细胞壁生物学</t>
        </is>
      </c>
      <c r="K57" s="2" t="inlineStr">
        <is>
          <t>硼毒害;花粉管;细胞壁;果胶;胼胝质;超微结构</t>
        </is>
      </c>
      <c r="L57" s="2" t="inlineStr">
        <is>
          <t>北京怀柔板栗试验站板栗成熟花粉（2018年6月10日采集），在含15%蔗糖+3.6 mM CaCl2、pH5.8的培养基中34℃暗培养27 h，添加H3BO3浓度0、0.08、0.4、0.8 mM处理</t>
        </is>
      </c>
      <c r="M57" s="2" t="inlineStr">
        <is>
          <t>花粉体外萌发培养与萌发率统计；免疫荧光标记（JIM7/JIM5抗体标记酯化/酸性果胶、CBM3a标记纤维素、抗(1→3)-β-葡聚糖抗体标记胼胝质）+激光共聚焦显微镜；纤维素酶/果胶酶/β-1,3-葡聚糖酶分别酶解处理；FTIR傅里叶红外光谱；SEM扫描电镜与TEM透射电镜；Image-Pro Plus荧光定量与Duncan's显著性分析</t>
        </is>
      </c>
      <c r="N57" s="2" t="inlineStr">
        <is>
          <t>硼对板栗花粉萌发存在最适浓度：不加硼时萌发率21.89%，0.08 mM H3BO3时最高（31.60%），0.8 mM时降至14.57%。硼毒害虽未显著抑制花粉管长度，但导致管尖异常膨大（宽度由5.71µm增至20.91µm）。对照花粉管中酯化果胶均匀分布、酸性果胶主要位于远端区、纤维素均匀分布但顶端较少、胼胝质自基部向亚顶端递减且顶端无胼胝质；硼毒害使酯化果胶、酸性果胶、纤维素和胼胝质均在花粉管顶端异常沉积。SEM/TEM显示硼毒害使顶端出现两层壁、微纤维紊乱、壁增厚。三种酶解试验结合FTIR证实果胶、纤维素与胼胝质间存在密切交联关系，且硼毒害改变了这种关系及组分的化学组成峰值。板栗雌雄花比高达1:2400-4000，生产中长期喷硼酸提高坐果率易造成硼积累毒害、扰乱花粉管发育而减产，提示硼肥施用须严格控量。</t>
        </is>
      </c>
      <c r="O57" s="2" t="inlineStr">
        <is>
          <t>萌发率：0 mM为21.89%、0.08 mM为31.60%（对照）、0.4 mM为19.78%、0.8 mM为14.57%；27 h花粉管长度：0 mM为25.80µm、0.08 mM为38.22µm、0.8 mM为39.82µm；花粉管宽度：0.08 mM对照5.71µm、0.8 mM硼毒害20.91µm（管尖膨大约3.7倍）；FTIR特征峰：饱和酯1,734 cm-1、蛋白1,641/1,540 cm-1、木质素/羧酸1,399/1,233 cm-1、纤维素与半纤维素1,331/1,156 cm-1、多糖1,200-900 cm-1，硼毒害使羧酸、果胶、纤维素、多糖峰增强；纤维素酶酶解后果胶呈不连续分布，果胶酶和β-1,3-葡聚糖酶酶解后果胶信号消失</t>
        </is>
      </c>
      <c r="P57" s="2" t="inlineStr">
        <is>
          <t>板栗生产中普遍喷硼酸提高坐果率，但用量难以把握，长期喷施造成硼在树体积累产生毒害：花粉萌发率可从31.6%降至14.6%，花粉管顶端膨大导致受精障碍和减产。该研究为板栗硼肥的合理浓度控制和避免硼过量提供了直接依据。</t>
        </is>
      </c>
      <c r="Q57" s="3" t="inlineStr">
        <is>
          <t>中</t>
        </is>
      </c>
      <c r="R57" s="2" t="inlineStr"/>
      <c r="S57" s="2" t="inlineStr">
        <is>
          <t>硼是植物发育必需元素，但过量硼对植物有毒。本研究评价了硼毒害对板栗花粉管细胞壁架构的影响，重点关注果胶、纤维素和胼胝质之间的关系。结果表明0.8 mM H3BO3抑制花粉萌发并导致花粉管形态异常。硼毒害还影响花粉管细胞壁组分的分布：对照花粉管中酯化果胶与酸性果胶分布不均，前者主要位于顶端、后者位于远端区；纤维素均匀分布于表面但顶端较少；胼胝质从花粉管基部向亚顶端逐渐减少，顶端未检测到胼胝质。硼毒害导致酯化果胶、酸性果胶、纤维素和胼胝质在花粉管顶端沉积。扫描电镜和透射电镜结果显示硼毒害还改变了花粉管壁超微结构。酶处理结果表明果胶、纤维素与胼胝质之间存在密切关系，硼毒害也改变了这种关系。总之，硼毒害改变了花粉管壁果胶、纤维素和胼胝质的沉积及其相互关系。</t>
        </is>
      </c>
    </row>
    <row r="58">
      <c r="A58" s="2" t="n">
        <v>57</v>
      </c>
      <c r="B58" s="2" t="inlineStr">
        <is>
          <t>057_2022_Genetic Diversity and Population Structure of Chinese Chestnut (Castanea mollissima Blume) Culti.md</t>
        </is>
      </c>
      <c r="C58" s="2" t="inlineStr">
        <is>
          <t>2022</t>
        </is>
      </c>
      <c r="D58" s="2" t="inlineStr">
        <is>
          <t>英文</t>
        </is>
      </c>
      <c r="E58" s="2" t="inlineStr">
        <is>
          <t>Genetic Diversity and Population Structure of Chinese Chestnut (Castanea mollissima Blume) Cultivars Revealed by GBS Resequencing</t>
        </is>
      </c>
      <c r="F58" s="2" t="inlineStr">
        <is>
          <t>基于GBS重测序的中国板栗品种遗传多样性与群体结构分析</t>
        </is>
      </c>
      <c r="G58" s="2" t="inlineStr">
        <is>
          <t>Jiang Xibing, Fang Zhou, Lai Junsheng, et al.（通讯：Gong Bangchu, Wang Yanpeng，中国林业科学研究院亚热带林业研究所）</t>
        </is>
      </c>
      <c r="H58" s="2" t="inlineStr">
        <is>
          <t>Plants, 2022, 11(24): 3524</t>
        </is>
      </c>
      <c r="I58" s="2" t="inlineStr">
        <is>
          <t>育种与遗传资源</t>
        </is>
      </c>
      <c r="J58" s="2" t="inlineStr">
        <is>
          <t>遗传多样性与群体结构（GBS-SNP分析）</t>
        </is>
      </c>
      <c r="K58" s="2" t="inlineStr">
        <is>
          <t>板栗;SNP遗传多样性;群体结构;GBS重测序;地理分化</t>
        </is>
      </c>
      <c r="L58" s="2" t="inlineStr">
        <is>
          <t>中国5大地理区（黄河以北、东部沿海、长江流域、中南、中西部）14省市的185份板栗地方品种/种质，其中黄河以北39份、东部沿海90份、长江流域22份、中南24份、中西部10份；以'红栗'与野生板栗的杂种无性系RISF-72为对照</t>
        </is>
      </c>
      <c r="M58" s="2" t="inlineStr">
        <is>
          <t>GBS简化基因组测序（Illumina HiSeq PE150）；BWA比对参考基因组（724 Mb）；SNP检测（SAMTOOLS）与过滤（dp≥2、缺失率≤0.2、MAF≥0.01）；ADMIXTURE群体结构分析、PCA主成分分析（GCTA/TASSEL）、邻接法系统进化树（1000次bootstrap）、分子方差分析（AMOVA）</t>
        </is>
      </c>
      <c r="N58" s="2" t="inlineStr">
        <is>
          <t>185份板栗共检测3,962,053个SNP，过滤后获得299,015个高质量SNP。5个地理群体观察杂合度0.2796-0.3427，遗传多样性较高，中西部群体最高（Ho=0.34265），黄河以北群体最低（Ho=0.27963）；长江流域基因流最高（Nm=3.2154）。AMOVA显示群体间变异仅占2.07%，群体内变异占97.93%，表明遗传变异主要来自群体内部。ADMIXTURE（K=2）将全部样本分为以黄河为界的南、北两大群体（67份与118份），PCA和进化树结果一致；但山东和北京部分样本为离群个体，推测与汉、唐、宋时期战乱引起的人口南迁传播板栗及京冀作为政治经济中心的种质流通有关。板栗种子顽拗性强、自然传播受限，历史分布格局深受人为活动塑造，研究结果为板栗种质资源遗传评价、保护策略和育种提供依据。</t>
        </is>
      </c>
      <c r="O58" s="2" t="inlineStr">
        <is>
          <t>185份地方品种、5个地理区14省市；总测序数据76.25 Gb，平均每样本412 Mb；比对率91.00-98.13%，平均测序深度9.74×；检测3,962,053个SNP，过滤后299,015个（其中外显子非同义SNP 3,800个、同义2,241个，ts/tv=2.163）；观察杂合度：黄河以北0.27963、东部沿海0.30334、长江流域0.29995、中南0.31340、中西部0.34265；基因流Nm：长江流域3.2154最高、中西部1.4372最低；AMOVA群体间2.07%、群体内97.93%；K=2分南北两群（67份/118份）</t>
        </is>
      </c>
      <c r="P58" s="2" t="inlineStr">
        <is>
          <t>明确了以黄河为界的板栗南北两大遗传群且变异主要存在于群体内部，为板栗种质资源的收集保存优先序制定、地方品种真实身份鉴定、南北群间杂交亲本选配（遗传差异大、杂种优势强）提供了科学指导。</t>
        </is>
      </c>
      <c r="Q58" s="3" t="inlineStr">
        <is>
          <t>中</t>
        </is>
      </c>
      <c r="R58" s="2" t="inlineStr"/>
      <c r="S58" s="2" t="inlineStr">
        <is>
          <t>中国板栗是最早驯化栽培的果树之一，在中国广泛分布，坚果品质优良且对生物和非生物胁迫抗性强，可用于改良世界食用栗品种。但其驯化历史不清和复杂遗传背景制约了育种效率。本研究对来自中国5个地理区的185份板栗地方品种进行GBS测序，通过杂合度统计、分子方差分析、ADMIXTURE、主成分分析和系统进化分析研究其遗传多样性与群体结构。结果表明5个群体遗传多样性较高，观察杂合度0.2796-0.3427，中西部群体最高、黄河以北群体最低；群体间变异仅2.07%，群体内变异达97.93%。板栗样本可分为以黄河为界的南、北两大群体，但南方群体中部分样本在遗传上更接近北方群体，推测与汉代战乱引起的人口迁移将板栗引入南方有关；山东和北京的部分样本为离群个体，可能与两地特殊地理、政治和经济地位有关。研究揭示了板栗地方品种复杂的遗传关系和丰富的遗传多样性。</t>
        </is>
      </c>
    </row>
    <row r="59">
      <c r="A59" s="2" t="n">
        <v>58</v>
      </c>
      <c r="B59" s="2" t="inlineStr">
        <is>
          <t>058_2022_Genome-Wide Identification of the CER Gene Family and Significant Features in Climate Adaptation.md</t>
        </is>
      </c>
      <c r="C59" s="2" t="inlineStr">
        <is>
          <t>2022</t>
        </is>
      </c>
      <c r="D59" s="2" t="inlineStr">
        <is>
          <t>英文</t>
        </is>
      </c>
      <c r="E59" s="2" t="inlineStr">
        <is>
          <t>Genome-Wide Identification of the CER Gene Family and Significant Features in Climate Adaptation of Castanea mollissima</t>
        </is>
      </c>
      <c r="F59" s="2" t="inlineStr">
        <is>
          <t>板栗CER基因家族全基因组鉴定及其气候适应性显著特征</t>
        </is>
      </c>
      <c r="G59" s="2" t="inlineStr">
        <is>
          <t>Zhao Shuqing, Nie Xinghua, Liu Xueqing, et al.（通讯：Qin Ling, Xing Yu，北京农学院）</t>
        </is>
      </c>
      <c r="H59" s="2" t="inlineStr">
        <is>
          <t>International Journal of Molecular Sciences, 2022, 23(24): 16202</t>
        </is>
      </c>
      <c r="I59" s="2" t="inlineStr">
        <is>
          <t>基因组与基因家族</t>
        </is>
      </c>
      <c r="J59" s="2" t="inlineStr">
        <is>
          <t>基因家族鉴定（CER蜡质合成基因）与气候（干旱）适应</t>
        </is>
      </c>
      <c r="K59" s="2" t="inlineStr">
        <is>
          <t>板栗;CER基因家族;干旱胁迫;表皮蜡质层厚度;表达分析</t>
        </is>
      </c>
      <c r="L59" s="2" t="inlineStr">
        <is>
          <t>甘肃、陕西、四川、湖北、安徽、浙江、江西、湖南8省146份野生板栗叶片；甘肃与浙江天目山各10份野生样本重测序；北京怀柔板栗试验站与江苏溧阳龙潭林场资源圃品种叶片；湖北野生Y-2（板栗基因组测序材料）及其在北京嫁接一年生材料；板栗幼苗干旱处理（0-12 h）</t>
        </is>
      </c>
      <c r="M59" s="2" t="inlineStr">
        <is>
          <t>半薄切片+油红O染色测定叶片表皮蜡质层厚度（ImageJ量化）；全基因组选择清除分析（FST，50 kb滑窗）；以拟南芥17个AtCER为参照的CER基因家族全基因组鉴定（BLAST+HMM）；系统进化（MEGA11，ML法）、保守基序（MEME）、染色体定位、顺式作用元件（PlantCARE）分析；qRT-PCR（2^-ΔΔCt法）检测干旱胁迫下表达</t>
        </is>
      </c>
      <c r="N59" s="2" t="inlineStr">
        <is>
          <t>北方野生板栗叶片表皮蜡质层显著厚于南方（p&lt;0.0001），甘肃样本蜡质层厚度为浙江天目山样本的2.56倍，蜡质层厚度与干旱程度相关。全基因组选择清除分析在甘肃与天目山两群体间发现CmCER1-1、CmCER1-5、CmCER3三个基因显著遗传分化，提示其参与板栗南北气候适应。板栗基因组共鉴定34个CmCER基因，分5个进化枝，CmCER1和CmCER60明显扩增；基因不均布于12条染色体，启动子含丰富的激素响应、逆境响应和MYB结合顺式元件。干旱处理激活32个CmCER基因，表达呈上调、先升后降、持续下调三种模式。北京与溧阳资源圃比较显示北方品种蜡质层显著更厚（p&lt;0.01）；同一Y-2品种分别嫁接于北京与湖北，北方植株蜡质层更厚（p&lt;0.05）且CmCER1-1、CmCER1-5、CmCER3表达显著更高，表明北方干旱环境诱导CER基因表达、促进蜡质合成，叶片蜡质层厚度可作为板栗抗旱种质筛选指标。</t>
        </is>
      </c>
      <c r="O59" s="2" t="inlineStr">
        <is>
          <t>146份野生样本：北方蜡质层显著厚于南方（p&lt;0.0001），甘肃样本为天目山样本的2.56倍；鉴定34个CmCER基因，氨基酸142（CmCER1-9）-1853（CmCER13-1）个、分子量16.50-206.05 kDa、等电点5.28-9.71；34基因不均布于12条染色体（3、7、10号各5个，4号无）；干旱胁迫0/1/3/6/9/12 h激活32个基因，12个上调、12个先升后降、8个持续下调；启动子分析：34个基因均含光响应元件，12个响应逆境防御、12个响应低温，22个含MYB结合位点；北京与溧阳资源圃北方品种蜡质层显著更厚（p&lt;0.01）；嫁接Y-2在北京蜡质层厚于湖北（p&lt;0.05），CmCER1-1/CmCER1-5/CmCER3北方表达显著更高（p&lt;0.05或0.01）</t>
        </is>
      </c>
      <c r="P59" s="2" t="inlineStr">
        <is>
          <t>叶片表皮蜡质层厚度可作为筛选抗旱板栗种质的重要形态指标；北方干旱瘠薄山地宜选用蜡质层厚、CER基因表达高的品种；CmCER1-1、CmCER1-5、CmCER3可作抗旱分子标记辅助育种的候选靶点，为南北方品种适地适栽提供依据。</t>
        </is>
      </c>
      <c r="Q59" s="3" t="inlineStr">
        <is>
          <t>中</t>
        </is>
      </c>
      <c r="R59" s="2" t="inlineStr"/>
      <c r="S59" s="2" t="inlineStr">
        <is>
          <t>植物角质层是地上器官最外层，是抵御生物和非生物胁迫的重要屏障。中国南北方气候差异大（温度和湿度），而板栗在南北均有分布。本研究研究了板栗叶片蜡质层与环境适应的关系。半薄切片证实中国西北与东南野生板栗叶片表皮蜡质层厚度差异显著（北方显著更厚，甘肃样本为浙江天目山的2.56倍）。对两个典型区域野生群体重测序并进行全基因组选择清除分析，发现CmCER1-1、CmCER1-5和CmCER3基因在两群体间存在显著遗传分化。在板栗全基因组中鉴定出34个CER基因并开展系列预测分析。干旱胁迫处理板栗幼苗后，CmCER基因表达分为上调、先升后降和持续下调三种趋势。北京和溧阳两资源圃品种分析显示北方品种蜡质层更厚；对Y-2品种而言，南方品种与北方嫁接一年生材料间CmCER1-1、CmCER1-5和CmCER3表达差异显著。本研究提示CER家族基因在板栗环境适应中发挥作用，为深入研究板栗蜡质合成对南北方环境的适应奠定基础。</t>
        </is>
      </c>
    </row>
    <row r="60">
      <c r="A60" s="2" t="n">
        <v>59</v>
      </c>
      <c r="B60" s="2" t="inlineStr">
        <is>
          <t>059_2022_Genome-wide identification, evolutionary, and expression analyses of the PP2C gene family in Cas.md</t>
        </is>
      </c>
      <c r="C60" s="2" t="inlineStr">
        <is>
          <t>2022</t>
        </is>
      </c>
      <c r="D60" s="2" t="inlineStr">
        <is>
          <t>英文</t>
        </is>
      </c>
      <c r="E60" s="2" t="inlineStr">
        <is>
          <t>Genome-wide identification, evolutionary, and expression analyses of the PP2C gene family in Castanea mollissima Blume.</t>
        </is>
      </c>
      <c r="F60" s="2" t="inlineStr">
        <is>
          <t>板栗PP2C基因家族全基因组鉴定、进化与表达分析</t>
        </is>
      </c>
      <c r="G60" s="2" t="inlineStr">
        <is>
          <t>Shang Wenli, Wang Xuan, Li Mingyuan, et al.（通讯：Liu Jing，河北科技师范学院）</t>
        </is>
      </c>
      <c r="H60" s="2" t="inlineStr">
        <is>
          <t>Research Square预印本（DOI: 10.21203/rs.3.rs-2408018/v1）</t>
        </is>
      </c>
      <c r="I60" s="2" t="inlineStr">
        <is>
          <t>基因组与基因家族</t>
        </is>
      </c>
      <c r="J60" s="2" t="inlineStr">
        <is>
          <t>基因家族鉴定（PP2C蛋白磷酸酶）</t>
        </is>
      </c>
      <c r="K60" s="2" t="inlineStr">
        <is>
          <t>板栗;PP2C蛋白磷酸酶;基因家族鉴定;表达谱;非生物胁迫</t>
        </is>
      </c>
      <c r="L60" s="2" t="inlineStr">
        <is>
          <t>板栗栽培品系N11-1全基因组；'青龙45'（QL）与'燕龙'（YL）叶片；'燕龙'授粉后70天（Nut_S1）和82天（Nut_S2）的种子</t>
        </is>
      </c>
      <c r="M60" s="2" t="inlineStr">
        <is>
          <t>基于HMM模型（Pfam PF00481）的hmmsearch全基因组搜索；Pfam与NCBI CDD结构域验证；ExPASy理化性质分析；Clustal W比对+MEGA X邻接法进化树（1000次bootstrap）；MEME保守基序分析；GSDS基因结构分析；TBtools共线性与表达热图；PlantCARE启动子顺式作用元件分析；基于公共RNA-seq数据（SRA）的FPKM组织表达分析</t>
        </is>
      </c>
      <c r="N60" s="2" t="inlineStr">
        <is>
          <t>从板栗基因组鉴定出68个PP2C基因（CmPP2C01-68），编码186-1079个氨基酸、分子量20.31-119.40 kDa、等电点4.66-9.30的蛋白，随机分布于12条染色体（1号染色体最多12个）。系统进化分为12个亚群（A-L）及未分类M、N群，同一亚群内保守基序、结构域和外显子/内含子结构相似； motif"8-3-2"可能是CmPP2C家族核心基序。15对基因存在全基因组/片段重复，CmPP2C64/65（12号染色体相距8039 bp）为串联重复，基因对分化时间6.18-67.86百万年前，5对基因Ka/Ks&gt;1受正选择。启动子共758个顺式元件，光响应占43%，并含干旱（MBS）、低温（LTR）、厌氧诱导、防御响应及ABA（ABRE）、MeJA等激素响应元件，A亚群胁迫相关元件最多（46个，含12个ABRE）。表达分析显示CmPP2C22在种子发育后期（Nut_S2）显著高表达且启动子含多个非生物胁迫响应元件，是种子发育与逆境应答的关键候选基因；CmPP2C05、18、31、64在种子中高表达，17个基因在叶片中高表达，CmPP2C65、44不表达。研究为板栗PP2C功能验证和抗逆育种奠定基础。</t>
        </is>
      </c>
      <c r="O60" s="2" t="inlineStr">
        <is>
          <t>鉴定68个CmPP2C基因；蛋白长186-1079 aa、分子量20.31-119.40 kDa、等电点4.66-9.30；分布于12条染色体，1号染色体12个最多、8号8个、4号和9号各5个；12个亚群（A、D、E分别含11、10、9个基因最多，K、I、J、L最少）；内含子数2-19个；15对WGD-SD重复基因对，Ka/Ks&gt;1的5对（如CmPP2C23/29、CmPP2C56/43）受正选择，分化时间9.50-11.65 MYa；启动子758个顺式元件中光响应占43%；CmPP2C22在Nut_S2（授粉后82天）表达显著高于Nut_S1（70天）；CmPP2C05、18、31、64种子高表达，CmPP2C02、10、45、49、50叶片特异表达，CmPP2C65和44不表达</t>
        </is>
      </c>
      <c r="P60" s="2" t="inlineStr">
        <is>
          <t>筛选出与种子发育和干旱、低温、盐渍等逆境相关的候选基因CmPP2C22及富含逆境响应元件的A亚群基因，为板栗抗旱抗寒品种的分子标记辅助选育、以及山地干旱瘠薄果园逆境管理相关的基因资源挖掘提供参考。</t>
        </is>
      </c>
      <c r="Q60" s="5" t="inlineStr">
        <is>
          <t>低</t>
        </is>
      </c>
      <c r="R60" s="2" t="inlineStr">
        <is>
          <t>与028号为同一研究的不同版本（预印本/正式发表）</t>
        </is>
      </c>
      <c r="S60" s="2" t="inlineStr">
        <is>
          <t>板栗是重要的坚果和用材经济树种。蛋白磷酸酶2C（PP2C）基因家族在多种植物的胁迫响应和发育过程中发挥重要作用，但板栗PP2C基因的分类、特征和功能尚不清楚。本研究对板栗基因组PP2C基因进行了全面分析和表达谱研究。共鉴定68个基因，蛋白长186-1079个氨基酸，分子量20.31-119.40 kDa，等电点4.66-9.30，随机分布于12条染色体。这些基因形成12个系统进化簇；系统进化分析表明同一亚群内多数CmPP2C蛋白的基序氨基酸序列组成、保守结构域和外显子/内含子结构相似。表达谱分析显示CmPP2C在叶片和种子中均有显著表达，CmPP2C22明确参与种子发育和多种非生物胁迫。这些结果表明CmPP2C基因在板栗响应多种非生物胁迫中发挥潜在重要作用，为CmPP2C基因功能研究提供了新见解。</t>
        </is>
      </c>
    </row>
    <row r="61">
      <c r="A61" s="2" t="n">
        <v>60</v>
      </c>
      <c r="B61" s="2" t="inlineStr">
        <is>
          <t>060_2022_Pan-genome analysis of three main Chinese chestnut varieties.md</t>
        </is>
      </c>
      <c r="C61" s="2" t="inlineStr">
        <is>
          <t>2022</t>
        </is>
      </c>
      <c r="D61" s="2" t="inlineStr">
        <is>
          <t>英文</t>
        </is>
      </c>
      <c r="E61" s="2" t="inlineStr">
        <is>
          <t>Pan-genome analysis of three main Chinese chestnut varieties</t>
        </is>
      </c>
      <c r="F61" s="2" t="inlineStr">
        <is>
          <t>三个主栽板栗品种的泛基因组分析</t>
        </is>
      </c>
      <c r="G61" s="2" t="inlineStr">
        <is>
          <t>Hu Guanglong, Cheng Lili, Cheng Yunhe, et al.（通讯：Lan Yanping，北京市农林科学院林业果树研究所）</t>
        </is>
      </c>
      <c r="H61" s="2" t="inlineStr">
        <is>
          <t>Frontiers in Plant Science, 13:916550</t>
        </is>
      </c>
      <c r="I61" s="2" t="inlineStr">
        <is>
          <t>基因组与基因家族</t>
        </is>
      </c>
      <c r="J61" s="2" t="inlineStr">
        <is>
          <t>泛基因组组装与品种特异变异（PAV）分析</t>
        </is>
      </c>
      <c r="K61" s="2" t="inlineStr">
        <is>
          <t>板栗;泛基因组;染色体级基因组组装;蜡质基因GBSS II;存在/缺失变异;基因组数据库</t>
        </is>
      </c>
      <c r="L61" s="2" t="inlineStr">
        <is>
          <t>三个主栽板栗品种：黑山寨7号（H7，抗旱、极短雄花序）、燕红（YH，耐修剪）、燕山早生（ZS，早熟），健康叶片采自北京密云沙厂村（40.3875°N, 117.0275°E）</t>
        </is>
      </c>
      <c r="M61" s="2" t="inlineStr">
        <is>
          <t>Oxford Nanopore PromethION三代长读长测序（测序深度104-126×）+ Illumina HiSeq X二代（Canu校正、Wtdbg组装、Racon/Pilon抛光）+ Hi-C辅助挂载（LACHESIS）组装染色体级基因组；CEGMA/BUSCO完整性评估；与欧洲栎共线性验证；OrthoMCL基因家族聚类与泛基因组/PAV分析；GBSS II蜡质基因家族系统进化（IQtree）与基序分析；Tomcat+MySQL构建板栗基因组数据库</t>
        </is>
      </c>
      <c r="N61" s="2" t="inlineStr">
        <is>
          <t>利用ONT+Illumina+Hi-C组装了燕红（YH，671.99 Mb）、燕山早生（ZS，790.99 Mb）、黑山寨7号（H7，678.90 Mb）三个染色体级高质量板栗基因组（12条染色体，scaffold N50分别为50.50、65.05、52.16 Mb，BUSCO完整度90.00%、95.00%、90.97%），分别预测31,792、32,012、32,411个蛋白编码基因。泛基因组分析发现H7、YH、ZS分别有159、131、91个特有基因家族和13,248个单拷贝直系同源基因；PAV分析鉴定H7、YH、ZS分别含2,364、2,232、1,475个特有基因。早熟品种ZS基因组比另两品种大约100 Mb（12条染色体均更大）。发现板栗GBSS II-b蜡质基因家族相对近缘种发生扩增（8号染色体14 kb区间串联重复2个成员），与板栗支链淀粉占总淀粉67-82%的高糯性品质相关。建成板栗基因组数据库（chestnutgenome.cn，含H7、YH、ZS、N11-1四套基因组），并提出结合'开放授粉'分子育种体系的聚合育种策略（筛选含至少两个品种特有基因的杂交果），以加速早熟、抗旱、易修剪新品种选育。</t>
        </is>
      </c>
      <c r="O61" s="2" t="inlineStr">
        <is>
          <t>基因组大小：YH 671.99 Mb、ZS 790.99 Mb、H7 678.90 Mb；scaffold N50：50.50 Mb（YH）、65.05 Mb（ZS）、52.16 Mb（H7）；预测基因31,792（YH）、32,012（ZS）、32,411（H7）个；重复序列占64.38%、53.49%、64.43%（以Gypsy、Copia为主）；杂合度0.98%（YH）、0.60%（ZS）、1.05%（H7）；BUSCO完整度90.00%（YH）、95.00%（ZS）、90.97%（H7）；特有基因家族：H7 159、YH 131、ZS 91个；PAV特有基因：H7 2,364、YH 2,232、ZS 1,475个；单拷贝直系同源基因13,248个；ZS基因组约大100 Mb、果实早熟约1个月；GBSS II-b家族扩增，8号染色体14 kb区间含2个串联重复基因；板栗淀粉占干物质50-80%，支链淀粉占总淀粉67-82%（约为直链淀粉2-5倍）；H7为极短雄花序抗旱突变体并已获'开放授粉'分子育种发明专利（CN201510568054.2）</t>
        </is>
      </c>
      <c r="P61" s="2" t="inlineStr">
        <is>
          <t>三套染色体级参考基因组和板栗基因组数据库（chestnutgenome.cn，提供JBrowse浏览、BLAST检索和引物设计）为分子标记开发与性状基因定位提供平台；提出的聚合育种策略可加速早熟、抗旱、易修剪新品种选育；GBSS II-b扩增的发现为糯质（支链淀粉含量）品质改良提供基因靶点，有助于优质鲜食与加工品种培育。</t>
        </is>
      </c>
      <c r="Q61" s="3" t="inlineStr">
        <is>
          <t>中</t>
        </is>
      </c>
      <c r="R61" s="2" t="inlineStr"/>
      <c r="S61" s="2" t="inlineStr">
        <is>
          <t>中国板栗是最早驯化的植物之一，具有很高的营养和生态价值，但其生长发育的分子机制尚不清楚。本研究报道了三个板栗栽培品种——黑山寨7号（H7，抗旱）、燕红（YH，易修剪）和燕山早生（ZS，早熟）的基因组序列，以促进板栗高效遗传育种。结合Oxford Nanopore、Illumina HiSeq X和Hi-C作图，获得三个染色体级基因组组装：671.99 Mb（YH）、790.99 Mb（ZS）和678.90 Mb（H7），均位于12条染色体上，scaffold N50分别为50.50、65.05和52.16 Mb。通过同源基因鉴定和基因家族聚类分析，发现H7、YH和ZS分别有159、131和91个特有基因家族，三品种共有13,248个单拷贝直系同源基因。基于基因家族鉴定计算了三样品基因的存在/缺失变异（PAV），在H7、YH和ZS中分别鉴定出2,364、2,232和1,475个特有基因。结果表明板栗GBSS II-b基因家族（相对最近缘种）发生了扩张。研究构建了板栗基因组数据库，为阐明重要性状的分子机制和缩短育种周期提供高质量、注释完善的基因组资源。</t>
        </is>
      </c>
    </row>
    <row r="62">
      <c r="A62" s="2" t="n">
        <v>61</v>
      </c>
      <c r="B62" s="2" t="inlineStr">
        <is>
          <t>061_2022_Transcriptomics and Antioxidant Analysis of Two Chinese Chestnut (Castanea mollissima BL.) Varie.md</t>
        </is>
      </c>
      <c r="C62" s="2" t="inlineStr">
        <is>
          <t>2022</t>
        </is>
      </c>
      <c r="D62" s="2" t="inlineStr">
        <is>
          <t>英文</t>
        </is>
      </c>
      <c r="E62" s="2" t="inlineStr">
        <is>
          <t>Transcriptomics and Antioxidant Analysis of Two Chinese Chestnut (Castanea mollissima BL.) Varieties Provides New Insights Into the Mechanisms of Resistance to Gall Wasp Dryocosmus kuriphilus Infestation</t>
        </is>
      </c>
      <c r="F62" s="2" t="inlineStr">
        <is>
          <t>两个中国板栗品种的转录组与抗氧化分析为栗瘿蜂抗性机制提供新见解</t>
        </is>
      </c>
      <c r="G62" s="2" t="inlineStr">
        <is>
          <t>Zhu Cancan, Wang Wu, Chen Yu, et al.</t>
        </is>
      </c>
      <c r="H62" s="2" t="inlineStr">
        <is>
          <t>Frontiers in Plant Science, 2022, 13: 874434</t>
        </is>
      </c>
      <c r="I62" s="2" t="inlineStr">
        <is>
          <t>病虫害防治</t>
        </is>
      </c>
      <c r="J62" s="2" t="inlineStr">
        <is>
          <t>栗瘿蜂抗性分子机制（转录组与抗氧化酶联合分析）</t>
        </is>
      </c>
      <c r="K62" s="2" t="inlineStr">
        <is>
          <t>栗瘿蜂;抗性品种;转录组;抗氧化酶;转录因子;WGCNA</t>
        </is>
      </c>
      <c r="L62" s="2" t="inlineStr">
        <is>
          <t>4年生板栗品种'红栗'(HL，感虫)与'书河无影栗'(SW，部分抗虫)，江苏南京板栗种质资源圃；2019年芽萌发后三个时期（4月7日初期A、4月15日生长期B、4月26日成熟期C）的虫瘿芽样品</t>
        </is>
      </c>
      <c r="M62" s="2" t="inlineStr">
        <is>
          <t>RNA-Seq测序(18个文库，Illumina HiSeq2500)；H2O2含量测定(二甲酚橙法)；SOD、CAT、PPO、POD抗氧化酶活性测定；GO/KEGG富集分析；WGCNA加权基因共表达网络分析；qRT-PCR验证8个差异基因</t>
        </is>
      </c>
      <c r="N62" s="2" t="inlineStr">
        <is>
          <t>以感虫品种'红栗'和部分抗虫品种'书河无影栗'为材料，通过转录组与抗氧化酶代谢分析揭示板栗对栗瘿蜂的抗性机制。抗性品种虫瘿数量显著少于感虫品种（HL是SW的7.5倍），其芽中H2O2含量及POD、SOD活性在各侵染时期普遍更高，而CAT、PPO活性多在感虫品种中更高。转录组共鉴定12793个差异基因，植物激素信号转导、MAPK信号和过氧化物酶体通路显著富集；WGCNA分析发现bHLH、WRKY、NAC、MYB转录因子家族与POD通路基因表达正相关，筛选出CmbHLH130、CmWRKY31、CmNAC50、CmPHL12等候选调控因子；萜类合酶基因也受侵染显著诱导。结果为抗瘿蜂板栗分子育种提供了基因资源和调控网络框架。</t>
        </is>
      </c>
      <c r="O62" s="2" t="inlineStr">
        <is>
          <t>HL平均每树虫瘿数是SW的7.5倍；SW芽生长中期H2O2最高达42.7 nmol/g FW；三个时期比较分别获得4975、3017、8293个差异表达基因，合计12793个蛋白编码DEGs；植物激素信号转导和MAPK信号通路在三个时期均为最显著富集KEGG通路；5个TIFY蛋白（JA信号相关）在抗性品种SW中高表达；244个差异转录因子来自20个家族，其中bHLH 42个、WRKY 40个、NAC 30个、MYB 21个；候选调控因子包括CmbHLH130(EVM0032437)、CmWRKY31(EVM0017000)、CmNAC50(EVM0000033)、CmPHL12(EVM0007330)；α-法尼烯合酶基因EVM0000042在初期A阶段HL中的表达是SW的8倍，2个橙花叔醇合酶基因受侵染诱导3-12倍；测序数据质量Q30&gt;91.12%，比对率71.01%-74.96%；qRT-PCR验证8个基因表达趋势与RNA-Seq一致</t>
        </is>
      </c>
      <c r="P62" s="2" t="inlineStr">
        <is>
          <t>为筛选和选育抗栗瘿蜂品种提供分子依据；抗性品种'书河无影栗'可作为抗虫育种的亲本材料，H2O2、POD、SOD等酶活指标可用于田间抗虫性评价。</t>
        </is>
      </c>
      <c r="Q62" s="3" t="inlineStr">
        <is>
          <t>中</t>
        </is>
      </c>
      <c r="R62" s="2" t="inlineStr"/>
      <c r="S62" s="2" t="inlineStr">
        <is>
          <t>中国板栗坚果营养价值高，但易受栗瘿蜂（Dryocosmus kuriphilus）危害形成虫瘿，导致产量与效益损失；某些基因型的抗性机制尚不清楚。本研究对感虫品种'红栗'(HL)和部分抗虫品种'书河无影栗'(SW)在虫瘿发生初期(A)、生长期(B)和成熟期(C)三个时期开展RNA-Seq与代谢组联合分析。结果显示，SW叶片在三个时期H2O2浓度及POD、SOD酶活性均高于HL，而CAT和PPO活性多在HL叶片中更高。转录组分析表明植物激素信号转导、MAPK信号和过氧化物酶体通路等参与响应；WGCNA分析显示bHLH、WRKY、NAC、MYB转录因子家族成员与POD通路基因表达正相关，鉴定出CmbHLH130(EVM0032437)、CmWRKY31(EVM0017000)、CmNAC50(EVM0000033)和CmPHL12(EVM0007330)为参与虫害诱导酶活调控的候选转录因子，可能促进SW对栗瘿蜂的抗性。8个随机差异基因经qRT-PCR验证了RNA-Seq表达模式的准确性。本研究可指导板栗抗瘿蜂候选基因功能分析与关键调控因子鉴定。</t>
        </is>
      </c>
    </row>
    <row r="63">
      <c r="A63" s="2" t="n">
        <v>62</v>
      </c>
      <c r="B63" s="2" t="inlineStr">
        <is>
          <t>062_2022_Transcriptomics Integrated with Changes in Cell Wall Material of Chestnut (Castanea mollissima B.md</t>
        </is>
      </c>
      <c r="C63" s="2" t="inlineStr">
        <is>
          <t>2022</t>
        </is>
      </c>
      <c r="D63" s="2" t="inlineStr">
        <is>
          <t>英文</t>
        </is>
      </c>
      <c r="E63" s="2" t="inlineStr">
        <is>
          <t>Transcriptomics Integrated with Changes in Cell Wall Material of Chestnut (Castanea mollissima Blume) during Storage Provides a New Insight into the "Calcification" Process</t>
        </is>
      </c>
      <c r="F63" s="2" t="inlineStr">
        <is>
          <t>板栗贮藏期间细胞壁物质变化与转录组联合分析揭示'钙化'过程新机制</t>
        </is>
      </c>
      <c r="G63" s="2" t="inlineStr">
        <is>
          <t>Chen Yu, Zhu Cancan, Zhao Yuqiang, et al.</t>
        </is>
      </c>
      <c r="H63" s="2" t="inlineStr">
        <is>
          <t>Foods, 2022, 11: 1136</t>
        </is>
      </c>
      <c r="I63" s="2" t="inlineStr">
        <is>
          <t>加工与贮藏</t>
        </is>
      </c>
      <c r="J63" s="2" t="inlineStr">
        <is>
          <t>贮藏栗仁'钙化'（硬化劣变）机理</t>
        </is>
      </c>
      <c r="K63" s="2" t="inlineStr">
        <is>
          <t>板栗钙化;贮藏;细胞壁物质;水分散失;转录组;木质素</t>
        </is>
      </c>
      <c r="L63" s="2" t="inlineStr">
        <is>
          <t>板栗品种'红栗'种子，采自江苏南京中国板栗种质资源研究区；室温20-25℃、相对湿度50-60%单层摊放贮藏，每5天取样，钙化程度分0%、1-25%、26-50%、51-75%、76-100%五个等级</t>
        </is>
      </c>
      <c r="M63" s="2" t="inlineStr">
        <is>
          <t>钙化率与含水量测定；细胞壁物质(CWM)提取与含量测定；Klason木质素和纤维素含量测定；水溶性果胶(WSP)、螯合溶性果胶(CSP)和离子溶性果胶(ISP)含量测定；0%与50%钙化种子转录组测序(Illumina HiSeq2500)；GO/KEGG/GSEA富集分析；qRT-PCR验证</t>
        </is>
      </c>
      <c r="N63" s="2" t="inlineStr">
        <is>
          <t>板栗'钙化'是采后贮藏中的生理病害，表现为栗仁变白变硬、失去食用价值。研究发现钙化程度与含水量呈显著负相关（r=-0.961），失水是钙化主因；完全钙化栗仁细胞壁物质达新鲜栗仁的5.3倍，纤维素、木质素与果胶含量随钙化进程动态变化，50%钙化可能是生理代谢紊乱的关键节点。对0%与50%钙化栗仁的转录组分析鉴定1801个差异基因（805上调、996下调），富集于嘌呤代谢、RNA降解、淀粉与蔗糖代谢、精氨酸和脯氨酸代谢及脂肪酸代谢等通路；纤维素合酶基因scaffold11300与果胶合酶基因scaffold0412显著上调，可能与细胞壁物质积累有关，而果胶降解酶PG基因下调解释了栗仁持续硬化。控制水分散失可有效延缓钙化、促进板栗保鲜。</t>
        </is>
      </c>
      <c r="O63" s="2" t="inlineStr">
        <is>
          <t>钙化程度与含水量显著负相关(r=-0.961, p&lt;0.01)；室温贮藏20天含水量从45%降至19%（降幅59%），30天钙化率79%时含水量14%，47天完全钙化时含水量仅11%；新鲜栗仁CWM为96.2 g/kg，100%钙化时达506.9 g/kg（5.3倍）；木质素在25%钙化时最高（46.9 g/kg，鲜果31.6 g/kg），50%钙化时最低（18.3 g/kg）；纤维素在50%钙化时达峰值52.6 g/kg（鲜果25.3 g/kg）；WSP从93.2增至125.9 g/kg（增35%），CSP在50%钙化时降至最低56.5 g/kg（为鲜果58%），ISP锐减至16.7 g/kg（为鲜果26%）；0%与50%钙化比较鉴定1801个DEGs（805上调、996下调）；纤维素合酶基因scaffold11300在50%钙化时上调(log2FC=1.73)，果胶合酶GAUT类基因scaffold04120上调12倍(log2FC=3.66)；6个纤维素合酶相关基因中5个下调，PG酶基因scaffold02071下调</t>
        </is>
      </c>
      <c r="P63" s="2" t="inlineStr">
        <is>
          <t>明确失水是板栗贮藏'钙化'主因，指导通过控制贮藏湿度、减少水分散失来延缓钙化进程，提高板栗贮藏保鲜效果和商品价值。</t>
        </is>
      </c>
      <c r="Q63" s="4" t="inlineStr">
        <is>
          <t>高</t>
        </is>
      </c>
      <c r="R63" s="2" t="inlineStr"/>
      <c r="S63" s="2" t="inlineStr">
        <is>
          <t>板栗'钙化'是采后贮藏过程中一系列生理生化变化的结果，其机制尚不清楚。本研究测定了板栗水分、细胞壁物质、纤维素、木质素和果胶等潜在钙化相关理化参数，并对不同贮藏阶段板栗种子进行转录组分析。结果表明，室温（20-25℃）、相对湿度50-60%下，种子钙化程度与含水量呈显著负相关（r=-0.961）；不完全钙化种子的细胞壁物质积累量是新鲜种子的5.3倍；纤维素与木质素总量在贮藏过程中增加。对0%和50%钙化板栗的转录组分析共鉴定1801个差异基因（805个上调、996个下调）；GO和GSEA富集显示对水分、水分缺失和盐胁迫的响应最显著；相关KEGG通路包括嘌呤代谢、RNA降解、mRNA监视、淀粉与蔗糖代谢、精氨酸和脯氨酸代谢及脂肪酸代谢。纤维素合酶、木质素分解和果胶分解相关基因大多下调，仅scaffold11300和scaffold0412两个重要基因上调，分别注释为纤维素合酶和果胶合酶基因，可能贡献于钙化过程中细胞壁物质总量的增加。结果为板栗钙化过程提供了新见解，并为板栗保鲜奠定基础。</t>
        </is>
      </c>
    </row>
    <row r="64">
      <c r="A64" s="2" t="n">
        <v>63</v>
      </c>
      <c r="B64" s="2" t="inlineStr">
        <is>
          <t>063_2021_Development of Chinese chestnut whiskey_ yeast strains isolation, fermentation system optimizati.md</t>
        </is>
      </c>
      <c r="C64" s="2" t="inlineStr">
        <is>
          <t>2021</t>
        </is>
      </c>
      <c r="D64" s="2" t="inlineStr">
        <is>
          <t>英文</t>
        </is>
      </c>
      <c r="E64" s="2" t="inlineStr">
        <is>
          <t>Development of Chinese chestnut whiskey: yeast strains isolation, fermentation system optimization, and scale-up fermentation</t>
        </is>
      </c>
      <c r="F64" s="2" t="inlineStr">
        <is>
          <t>中国板栗威士忌的开发：酵母菌株分离、发酵体系优化及放大发酵</t>
        </is>
      </c>
      <c r="G64" s="2" t="inlineStr">
        <is>
          <t>Li Wanzhen, Shi Cuie, Guang Jiaquan, et al.</t>
        </is>
      </c>
      <c r="H64" s="2" t="inlineStr">
        <is>
          <t>AMB Express, 2021, 11: 17</t>
        </is>
      </c>
      <c r="I64" s="2" t="inlineStr">
        <is>
          <t>加工与贮藏</t>
        </is>
      </c>
      <c r="J64" s="2" t="inlineStr">
        <is>
          <t>板栗酒发酵工艺（酵母筛选与中试放大）</t>
        </is>
      </c>
      <c r="K64" s="2" t="inlineStr">
        <is>
          <t>板栗威士忌;酵母菌种;混合发酵;挥发性香气;中试放大;工艺优化</t>
        </is>
      </c>
      <c r="L64" s="2" t="inlineStr">
        <is>
          <t>安徽霍山产板栗（2019年10月市售）、麦芽、糯米；从浓香型大曲中分离的16株酵母（含HN006酿酒酵母、HN010异常威克汉姆酵母等）；发酵在安徽迎驾酒业中试基地1000 L发酵罐进行</t>
        </is>
      </c>
      <c r="M64" s="2" t="inlineStr">
        <is>
          <t>嗅觉平板'嗅探'法初筛产香酵母；rep-PCR指纹聚类与26S rRNA D1/D2区测序鉴定；HS-SPME-GC-MS分析挥发性香气成分；单因素优化接种量、原料配比、酵母浸粉添加量；5 L壶式蒸馏器双蒸；1000 L中试放大发酵验证</t>
        </is>
      </c>
      <c r="N64" s="2" t="inlineStr">
        <is>
          <t>以板栗为主要原料开发新型板栗威士忌。从浓香型大曲中分离16株酵母并经rep-PCR和26S rRNA测序鉴定，筛选出9株产香酵母；其中酿酒酵母HN006乙醇产量最高（发酵120 h达90.2 g/L，糖利用率99.5%），异常威克汉姆酵母HN010产香与感官评价最佳但产乙醇能力弱。二者共培养发酵最优条件为：混合接种量6%（HN006:HN010=1:2）、原料配比板栗:麦芽:糯米=5:3:2、酵母浸粉6 g/L。优化体系成功放大至1000 L中试发酵，3天完成3批次生产，最高乙醇浓度190.56 g/L，得率0.487 g/g。这是首次报道采用混合菌种发酵生产板栗栗酒，为板栗深加工产业化提供了可行方案。</t>
        </is>
      </c>
      <c r="O64" s="2" t="inlineStr">
        <is>
          <t>16株酵母分属8个聚类群，包括酿酒酵母HN006/HN009、异常威克汉姆酵母HN007/HN010、毕赤酵母、汉逊酵母等9个属；HN006发酵120 h产乙醇90.2 g/L、乙醇生产强度0.752 g/L/h、糖利用率99.5%、得率0.467 g/g，为9株中最高；HN010产酯类16.456 μg/mL（为HN006的3.22倍、HN009的3.70倍），感官评分最高（滋味7.37、香气7.76、口感7.64、余味6.90、总体7.12）；最优条件：接种量6%、HN006:HN010=1:2、原料板栗:麦芽:糯米=5:3:2、酵母浸粉6 g/L（此时乙醇92.6 g/L、感官评分8.9）；酵母浸粉10 g/L时乙醇降至78.2 g/L；1000 L中试3天完成3批次，最高乙醇190.56 g/L、得率0.487 g/g；HN006和HN010分别在48 h和36 h达最大生物量2.065×10^8和4.201×10^8 CFU/mL；菌株保藏号为CICC1035(HN006)和CICC1783(HN010)</t>
        </is>
      </c>
      <c r="P64" s="2" t="inlineStr">
        <is>
          <t>提供板栗威士忌（栗酒）完整发酵工艺与专用酵母组合，可用于板栗深加工产品开发，缓解鲜栗季节性销售压力，提升板栗附加值。</t>
        </is>
      </c>
      <c r="Q64" s="4" t="inlineStr">
        <is>
          <t>高</t>
        </is>
      </c>
      <c r="R64" s="2" t="inlineStr">
        <is>
          <t>与074号、075号为同一研究的不同版本（预印本/正式发表）</t>
        </is>
      </c>
      <c r="S64" s="2" t="inlineStr">
        <is>
          <t>本研究以中国板栗为主要原料开发一种新型威士忌。首先采用嗅觉平板法分离并鉴定16株产香酵母，依据发酵能力、香气特征和感官评价筛选出9株菌株。结果表明酿酒酵母HN006与异常威克汉姆酵母HN010组合可获得满意的发酵效果和有趣的风味：HN010产香强、感官评分高但乙醇产量较低，HN006风味欠佳但产乙醇最多。随后共培养两菌株优化发酵体系，确定最优参数：混合接种量6%（v/v）、HN006/HN010比例1:2（v/v）、原料配比板栗:麦芽:糯米=5:3:2、酵母浸粉浓度6 g/L。该发酵体系成功放大至1000 L中试规模。本研究表明HN006和HN010可作为威士忌发酵的备选菌种，并为评估其他微生物提供了通用实验方案。</t>
        </is>
      </c>
    </row>
    <row r="65">
      <c r="A65" s="2" t="n">
        <v>64</v>
      </c>
      <c r="B65" s="2" t="inlineStr">
        <is>
          <t>064_2021_Estimation of Total Phenolic Compounds and Non-Targeted Volatile Metabolomics in Leaf Tissues of.md</t>
        </is>
      </c>
      <c r="C65" s="2" t="inlineStr">
        <is>
          <t>2021</t>
        </is>
      </c>
      <c r="D65" s="2" t="inlineStr">
        <is>
          <t>英文</t>
        </is>
      </c>
      <c r="E65" s="2" t="inlineStr">
        <is>
          <t>Estimation of Total Phenolic Compounds and Non-Targeted Volatile Metabolomics in Leaf Tissues of American Chestnut (Castanea dentata), Chinese Chestnut (Castanea mollissima) and the Backcross Breeding Generations</t>
        </is>
      </c>
      <c r="F65" s="2" t="inlineStr">
        <is>
          <t>美洲栗、中国板栗及其回交世代叶片总酚化合物估测与非靶向挥发性代谢组学分析</t>
        </is>
      </c>
      <c r="G65" s="2" t="inlineStr">
        <is>
          <t>She Jinyan, Mohottige C. U. G., King Mary, et al.</t>
        </is>
      </c>
      <c r="H65" s="2" t="inlineStr">
        <is>
          <t>Journal of Agricultural Chemistry and Environment, 2021, 10(2): 222-256</t>
        </is>
      </c>
      <c r="I65" s="2" t="inlineStr">
        <is>
          <t>育种与遗传资源</t>
        </is>
      </c>
      <c r="J65" s="2" t="inlineStr">
        <is>
          <t>叶片酚类与挥发性代谢物用于抗病育种辅助鉴别</t>
        </is>
      </c>
      <c r="K65" s="2" t="inlineStr">
        <is>
          <t>叶片总酚;挥发性有机物;回交育种;栗疫病抗性;种间鉴别;代谢组学</t>
        </is>
      </c>
      <c r="L65" s="2" t="inlineStr">
        <is>
          <t>美洲栗(Castanea dentata)、中国板栗(Castanea mollissima)及其回交后代B3F2、B3F3的温室幼苗叶片；种质来自美国板栗基金会(TACF)Meadowview果园和野生母树，每家系33粒种子，密西西比州立大学温室培育5-6个月</t>
        </is>
      </c>
      <c r="M65" s="2" t="inlineStr">
        <is>
          <t>Folin-Ciocalteu比色法结合UV/Vis分光光度法(765 nm)测定总酚；溶剂种类/料液比/pH/时间提取优化；Peleg、二级、Elovich和幂律动力学模型拟合；HS-SPME-GC/MS非靶向挥发性代谢组学；PCA、PLS-DA、K-means和HCA化学计量学分析</t>
        </is>
      </c>
      <c r="N65" s="2" t="inlineStr">
        <is>
          <t>建立栗树叶片总酚含量测定与非靶向挥发性代谢组学方法，用于美洲栗、中国板栗及其回交后代（B3F2、B3F3）的鉴别与抗病性预测。最优提取条件为甲醇/水(95:5)、pH2、料液比100:1、24小时，提取过程符合二级动力学（R2&gt;0.99）。中国板栗叶片总酚含量最高（14.125 mg/g），美洲栗最低（9.774 mg/g），回交后代居中，种间差异极显著（p=2.3×10^-7）。HS-SPME-GC/MS共鉴定67种挥发性有机物，PLS-DA模型可区分各树种；与中国板栗相关的挥发物多有抗真菌活性报道，而美洲栗及杂种的挥发物多无。结果表明总酚含量有望作为栗疫病抗性育种的辅助选择指标，B3F3代叶片总酚明显低于中国板栗亲本且叶片化学尚未达到美洲栗亲本特征。</t>
        </is>
      </c>
      <c r="O65" s="2" t="inlineStr">
        <is>
          <t>叶片总酚含量（以咖啡酸当量计）：中国板栗最高14.125 mg/g鲜重，美洲栗最低9.774 mg/g，B3F2为9.931 mg/g、B3F3为10.884 mg/g；种间差异显著（ANOVA p=2.3×10^-7），中国板栗与其他三者差异均极显著(p&lt;0.05)，但美洲栗与B3F2(p=0.778)、B3F3(p=0.053)差异不显著；最佳提取条件：甲醇/水95:5、pH2、料液比100:1、24 h，二级动力学R2达0.990-0.999；共鉴定67种VOCs（9种醇、14种倍半萜、12种酯等），13种差异挥发物VIP&gt;1且p&lt;0.05；顺式-3-乙酸己烯酯在所有栗树中强释放；PLS-DA模型R2X=0.884、R2Y=0.917、Q2=0.584可区分物种与杂种，但两个回交系间难以区分；中国板栗相关挥发物（ylangene、石竹烯、seychellene、角鲨烯、β-水芹烯等）多有抗真菌活性报道</t>
        </is>
      </c>
      <c r="P65" s="2" t="inlineStr">
        <is>
          <t>叶片总酚和挥发物指纹可低成本辅助鉴定板栗种质与杂种后代、预测栗疫病抗性，为抗病育种早期选择提供快速无损的化学指标。</t>
        </is>
      </c>
      <c r="Q65" s="3" t="inlineStr">
        <is>
          <t>中</t>
        </is>
      </c>
      <c r="R65" s="2" t="inlineStr"/>
      <c r="S65" s="2" t="inlineStr">
        <is>
          <t>美洲栗曾是阿巴拉契亚山脉的优势树种，因栗疫菌（Cryphonectria parasitica）引起的栗疫病几乎灭绝。鉴定物种与回交杂种特异化合物有助于完善抗病育种与检测。植物酚类化合物对其抵御真菌病原的防御机制意义重大。本研究建立Folin-Ciocalteu试剂法结合UV/Vis分光光度法测定美洲栗、中国板栗及其回交后代（B3F2和B3F3）叶片总酚含量的分析平台，可用于预测抗病性。叶片经甲醇/水（95:5）pH2提取后765 nm吸光度显示四种树间差异显著（ANOVA p=2.3×10^-7）。用Peleg、二级、Elovich和幂律模型阐述了酚类固液提取动力学。此外，利用顶空固相微萃取气相色谱质谱（SPME-GC/MS）对叶片挥发性有机物进行广泛分析，共鉴定67种VOCs；与中国板栗相关的许多代谢物已被报道具有抗真菌特性，而美洲栗和杂种美洲栗的代谢物则没有。大多数抗真菌代谢物对子囊菌门效力最强。偏最小二乘判别分析（PLS-DA）模型（R2X=0.884，R2Y=0.917，Q2=0.584）在前五个主成分内区分栗树种与杂种。</t>
        </is>
      </c>
    </row>
    <row r="66">
      <c r="A66" s="2" t="n">
        <v>65</v>
      </c>
      <c r="B66" s="2" t="inlineStr">
        <is>
          <t>065_2021_Identification and Characterization of MADS-box Genes Involved in Floral Organ Development in Ch.md</t>
        </is>
      </c>
      <c r="C66" s="2" t="inlineStr">
        <is>
          <t>2021</t>
        </is>
      </c>
      <c r="D66" s="2" t="inlineStr">
        <is>
          <t>英文</t>
        </is>
      </c>
      <c r="E66" s="2" t="inlineStr">
        <is>
          <t>Identification and Characterization of MADS-box Genes Involved in Floral Organ Development in Chinese Chestnut (Castanea mollissima Blume)</t>
        </is>
      </c>
      <c r="F66" s="2" t="inlineStr">
        <is>
          <t>中国板栗花器官发育相关MADS-box基因的鉴定与特征分析</t>
        </is>
      </c>
      <c r="G66" s="2" t="inlineStr">
        <is>
          <t>Liu Yang, Chen Guosong, Gao Yuerong, et al.</t>
        </is>
      </c>
      <c r="H66" s="2" t="inlineStr">
        <is>
          <t>Horticultural Science and Technology, 2021, 39(4): 482-496</t>
        </is>
      </c>
      <c r="I66" s="2" t="inlineStr">
        <is>
          <t>基因组与基因家族</t>
        </is>
      </c>
      <c r="J66" s="2" t="inlineStr">
        <is>
          <t>MADS-box基因家族鉴定与花器官发育表达分析</t>
        </is>
      </c>
      <c r="K66" s="2" t="inlineStr">
        <is>
          <t>MADS-box基因家族;花器官发育;雌花;系统进化;基因表达;板栗</t>
        </is>
      </c>
      <c r="L66" s="2" t="inlineStr">
        <is>
          <t>15年生板栗品种'燕山红栗'，北京板栗试验站；混合花芽分化4个时期（B1花序原基分化早期3月14日、B2后期3月25日、B3苞片原基形成期4月8日、B4花序雏形形成期4月22日）及雌花、雄花、雄花序、雄花簇、花丝、柱头、子房、叶片、子叶共10种组织</t>
        </is>
      </c>
      <c r="M66" s="2" t="inlineStr">
        <is>
          <t>基于板栗基因组BLASTP搜索（PF00319和PF09047结构域）全基因组鉴定；MEGA 5.01邻接法系统进化分析（1000次bootstrap）；MEME基序分析；石蜡切片显微观察花芽发育；qRT-PCR检测53个基因在10种器官中的表达（CmActin内参）</t>
        </is>
      </c>
      <c r="N66" s="2" t="inlineStr">
        <is>
          <t>基于板栗基因组全基因组鉴定MADS-box基因家族共53个成员，其中I型21个（Mα 15、Mβ 3、Mγ 3）、II型32个（MIKCC 27、MIKC* 5）；MIKCC组分为12个亚族，板栗缺少BS亚族而存在拟南芥没有的TM8亚族（CmMADS38）。qRT-PCR分析显示多数II型基因在花器官中表达高于叶片和子叶；AG、AP1/FUL、AGL6、SEP、SOC1等亚族在柱头和子房高表达；CmMADS38在子房中表达最高，CmMADS42仅在花药中高表达，提示二者分别参与子房与花粉发育调控。板栗雌雄花比例约1:2900-3400，雌花少限制产量，推断雄花由ABE功能基因、雌花由ACE功能基因决定，为促进雌花发育和板栗遗传改良提供理论基础。</t>
        </is>
      </c>
      <c r="O66" s="2" t="inlineStr">
        <is>
          <t>板栗基因组含53个MADS-box基因（I型21个：Mα 15、Mβ 3、Mγ 3；II型32个：MIKCC 27、MIKC* 5），少于苹果(146)、杨树(101)、拟南芥(108)、水稻(76)、桃(79)，多于黄瓜(43)、枣(52)；MIKCC分12个亚族，无BS亚族成员，存在TM8成员CmMADS38；CmMADS蛋白长98-540个氨基酸，分子量11281.86-61665.78 Da，等电点5.20-10.39；板栗雌雄花比例约1:2900-3400；16个CmMADS基因在花序原基分化早期(B1)高表达并随花芽发育持续下降，其中CmMADS33(AP1)在B1期表达量达7.375；CmMADS38(TM8)在子房表达最高，CmMADS42(MIKC*)仅在花药高表达(相对表达量19.43)；CmMADS48(AP3)在花药中表达11.41；I型基因CmMADS13和CmMADS15在混合芽和雌花中表达高于雄花</t>
        </is>
      </c>
      <c r="P66" s="2" t="inlineStr">
        <is>
          <t>揭示调控板栗雌花发育与花粉发育的候选基因，为通过分子手段促进雌花分化、提高坐果产量及品种改良提供理论依据。</t>
        </is>
      </c>
      <c r="Q66" s="5" t="inlineStr">
        <is>
          <t>低</t>
        </is>
      </c>
      <c r="R66" s="2" t="inlineStr"/>
      <c r="S66" s="2" t="inlineStr">
        <is>
          <t>中国板栗是具有重要经济和生态价值的木本植物，广泛栽培用于坚果生产。因其独特的开花结构，鉴定花发育相关基因极为重要，而MADS-box基因直接参与花器官形态建成。本研究报道了中国板栗MADS-box基因家族：依据基因结构和系统进化树鉴定出53个CmMADS蛋白并聚为5组；MIKCC组进一步分为12个亚族，板栗中未发现BS亚族。同时分析了板栗MADS蛋白的分类与基序组成，并用qRT-PCR评价所有MADS-box基因在花器官中的表达。总体上，多数II型基因在花器官中的表达高于叶片和子叶。这些结果为今后研究板栗花发育过程中MADS-box基因的调控提供有价值的信息。</t>
        </is>
      </c>
    </row>
    <row r="67">
      <c r="A67" s="2" t="n">
        <v>66</v>
      </c>
      <c r="B67" s="2" t="inlineStr">
        <is>
          <t>066_2021_Morphological observation and protein expression of fertile and abortive ovules in Castanea moll.md</t>
        </is>
      </c>
      <c r="C67" s="2" t="inlineStr">
        <is>
          <t>2021</t>
        </is>
      </c>
      <c r="D67" s="2" t="inlineStr">
        <is>
          <t>英文</t>
        </is>
      </c>
      <c r="E67" s="2" t="inlineStr">
        <is>
          <t>Morphological observation and protein expression of fertile and abortive ovules in Castanea mollissima</t>
        </is>
      </c>
      <c r="F67" s="2" t="inlineStr">
        <is>
          <t>板栗可育与败育胚珠的形态观察和蛋白表达分析</t>
        </is>
      </c>
      <c r="G67" s="2" t="inlineStr">
        <is>
          <t>Du B, Zhang Q, Cao Q, et al.</t>
        </is>
      </c>
      <c r="H67" s="2" t="inlineStr">
        <is>
          <t>PeerJ</t>
        </is>
      </c>
      <c r="I67" s="2" t="inlineStr">
        <is>
          <t>生理与分子机制</t>
        </is>
      </c>
      <c r="J67" s="2" t="inlineStr">
        <is>
          <t>胚珠败育机理（形态学与蛋白质组学）</t>
        </is>
      </c>
      <c r="K67" s="2" t="inlineStr">
        <is>
          <t>板栗;胚珠败育;iTRAQ蛋白质组学;糖酵解;活性氧;过氧化物酶</t>
        </is>
      </c>
      <c r="L67" s="2" t="inlineStr">
        <is>
          <t>板栗品种'怀黄'(Huaihuang)，北京怀柔区板栗试验站20株树，开花后20天(20DAA)同一子房中的可育胚珠与败育胚珠（各3个生物学重复）</t>
        </is>
      </c>
      <c r="M67" s="2" t="inlineStr">
        <is>
          <t>石蜡切片形态与显微结构观察;PI/DAPI荧光核标记;透射电镜(TEM)超微结构观察;iTRAQ同位素标记定量蛋白质组学结合LC-MS/MS;GO/KEGG富集分析;Western blot验证GAPDH表达</t>
        </is>
      </c>
      <c r="N67" s="2" t="inlineStr">
        <is>
          <t>板栗每个子房含12-18个胚珠但通常仅1个发育成种子，败育率极高。本研究以'怀黄'为材料，在开花后20天对可育与败育胚珠进行比较研究。形态与显微结构显示：可育胚珠具有完整胚囊、胚（球形胚）和胚乳，内外珠被紧贴；败育胚珠无胚囊、无胚和胚乳，内外珠被间存在明显空隙并残留珠心组织。荧光标记与透射电镜显示败育胚珠细胞形态异常、细胞壁不规则增厚、细胞质浓缩、核膜破裂、核仁降解、线粒体数量减少，呈凋亡样特征。iTRAQ共鉴定3230个差异表达蛋白（败育胚珠中1748个上调、1482个下调），主要涉及蛋白质合成、氨基酸代谢、能量合成与活性氧代谢：翻译起始因子、蛋白二硫键异构酶、氨基酸代谢酶和糖酵解酶（含GAPDH）显著下调，6种过氧化物酶显著上调。能量供应不足与活性氧过量积累可能是胚珠败育的主要原因。</t>
        </is>
      </c>
      <c r="O67" s="2" t="inlineStr">
        <is>
          <t>每个子房含12-18个胚珠（6-9室、每室2个倒生胚珠），仅1个发育成种子，20DAA胚珠败育率达94%;可育胚珠总蛋白536µg(1.79µg/µL)，败育胚珠220µg(0.73µg/µL)，前者为后者的2.43倍;共鉴定3230个差异蛋白，败育胚珠中1748个上调、1482个下调;GAPDH在败育胚珠中降幅最大（可育/败育比值0.4714），Western blot检测到37 kD特异条带;6种过氧化物酶显著上调，最高达4.03倍;糖酵解相关7种酶、氨基酸代谢相关9种酶及4个翻译起始因子、3个蛋白二硫键异构酶在败育胚珠中下调;蛋白质组数据登录号PXD021317</t>
        </is>
      </c>
      <c r="P67" s="2" t="inlineStr">
        <is>
          <t>阐明了每子房12-18个胚珠仅1个发育、败育率高达94%的细胞学与蛋白组学基础，为提高板栗坐果率、减少空苞提供理论依据；能量不足与活性氧积累是败育主因，提示花期营养管理和授粉条件对坐果的重要性。</t>
        </is>
      </c>
      <c r="Q67" s="3" t="inlineStr">
        <is>
          <t>中</t>
        </is>
      </c>
      <c r="R67" s="2" t="inlineStr"/>
      <c r="S67" s="2" t="inlineStr">
        <is>
          <t>中国板栗（Castanea mollissima Blume）每个子房含12-18个胚珠，但仅一个胚珠发育成种子，表明胚珠败育率很高。本研究以'怀黄'为材料，从形态学和蛋白质组学角度探讨胚珠败育的可能机制。开花后20天(20DAA)，败育胚珠与可育胚珠在形态和显微结构上差异显著：可育胚珠具有完整形成的胚囊、胚和胚乳等组织；而败育胚珠没有胚囊，珠被间出现较宽空隙，珠心残留很少。荧光核标记和透射电镜观察显示，败育胚珠细胞形态异常、细胞壁增厚、细胞膜皱缩、细胞质浓缩、核膜破裂、核仁降解、线粒体减少。iTRAQ结果表明败育胚珠中低分子量可溶性蛋白水平低，多数差异表达蛋白与蛋白质合成、活性氧自由基积累、能量合成等相关。这些差异蛋白可能与胚珠异常形成有关。</t>
        </is>
      </c>
    </row>
    <row r="68">
      <c r="A68" s="2" t="n">
        <v>67</v>
      </c>
      <c r="B68" s="2" t="inlineStr">
        <is>
          <t>067_2021_Non-targeted and targeted metabolomics profiling of tea plants (Camellia sinensis) in response t.md</t>
        </is>
      </c>
      <c r="C68" s="2" t="inlineStr">
        <is>
          <t>2021</t>
        </is>
      </c>
      <c r="D68" s="2" t="inlineStr">
        <is>
          <t>英文</t>
        </is>
      </c>
      <c r="E68" s="2" t="inlineStr">
        <is>
          <t>Non-targeted and targeted metabolomics profiling of tea plants (Camellia sinensis) in response to its intercropping with Chinese chestnut</t>
        </is>
      </c>
      <c r="F68" s="2" t="inlineStr">
        <is>
          <t>茶树对板栗间作响应的非靶向与靶向代谢组学分析</t>
        </is>
      </c>
      <c r="G68" s="2" t="inlineStr">
        <is>
          <t>Wu T, Zou R, Pu D, et al.</t>
        </is>
      </c>
      <c r="H68" s="2" t="inlineStr">
        <is>
          <t>BMC Plant Biology</t>
        </is>
      </c>
      <c r="I68" s="2" t="inlineStr">
        <is>
          <t>栽培与土壤管理</t>
        </is>
      </c>
      <c r="J68" s="2" t="inlineStr">
        <is>
          <t>板栗-茶间作复合经营与茶叶品质</t>
        </is>
      </c>
      <c r="K68" s="2" t="inlineStr">
        <is>
          <t>板栗;茶树;间作;代谢组学;游离氨基酸;绿茶品质</t>
        </is>
      </c>
      <c r="L68" s="2" t="inlineStr">
        <is>
          <t>云南宜良宝洪山茶园：1970s/1980s/1990s配植板栗的茶-板栗间作系统(70T/80T/90T)与纯茶园对照(T)，宝洪茶(Baohong)一芽二叶鲜叶，2019年3月24日采样</t>
        </is>
      </c>
      <c r="M68" s="2" t="inlineStr">
        <is>
          <t>感官评审(GB/T 23776-2018，5名高级评茶员盲评);HPLC测咖啡碱、分光光度法测茶多酚与游离氨基酸;UHPLC-QTOF-MS非靶向代谢组学;UHPLC-MS/MS(MRM)靶向氨基酸代谢组学;PCA/OPLS-DA多元统计与KEGG通路分析</t>
        </is>
      </c>
      <c r="N68" s="2" t="inlineStr">
        <is>
          <t>板栗与茶是经典间作伙伴，但间作提升绿茶品质的代谢机制不明。研究以云南宜良宝洪山茶-板栗间作茶园与纯茶园为对象，结合感官评审、主要成分测定及LC-MS非靶向与靶向代谢组学。结果显示1980年代建立的间作系统(80T)绿茶感官评分最高（滋味91分，对照82.5分），茶多酚/氨基酸比值最低；非靶向代谢组鉴定100种具MS2鉴定的差异代谢物上调（正/负离子模式分别65/35种）；靶向代谢组显示21种氨基酸上调、3种下调，其中约半数可改善茶味（甜味型Met/Pro/Ala/Thr/Ser，鲜味型Glu/Gln/Asn/Asp，花香型Phe/Gly），天冬酰胺升幅最大(3.30倍)；GABA上调1.62倍；尿囊酸、糖类、糖醇与油酸含量升高而苦味类黄酮（芹菜素、柚皮苷、野樱苷）减少。黄酮与黄酮醇生物合成及苯丙氨酸代谢通路差异最大。结果表明板栗-茶间作可在代谢层面显著提升绿茶滋味、香气与健康功效，具有推广潜力。</t>
        </is>
      </c>
      <c r="O68" s="2" t="inlineStr">
        <is>
          <t>80T(1980年代间作)绿茶滋味评分91分，对照纯茶园(T)82.5分;间作茶茶多酚18.73-19.28%低于对照21.09%，咖啡碱2.12-2.19%低于对照2.22%，茶多酚/氨基酸比值最低;非靶向代谢组100种差异代谢物上调（正模式65个、负模式35个），68%为上调;靶向代谢组21种氨基酸上调、3种下调;天冬酰胺上调3.30倍(3532.84 vs 1069.28 nmol/g)、丝氨酸1.69倍、GABA 1.62倍;Glu/Gln/Asp/Ser含量均超10000 nmol/g;鼠李糖上调2.70倍、D-苏糖醇2.21倍;油酸上调1.68倍、茉莉内酯1.21倍;尿囊酸上调约3.3倍（推断与咖啡碱降解有关）;黄酮与黄酮醇生物合成、苯丙氨酸代谢为差异最大的通路</t>
        </is>
      </c>
      <c r="P68" s="2" t="inlineStr">
        <is>
          <t>板栗-茶间作可显著提升绿茶滋味与香气、降低茶多酚/氨基酸比值并增加GABA等功能成分，且茶叶+板栗一地双收提高土地收益，为土地紧缺茶区科学推广板栗-茶复合经营模式提供了代谢层面的科学依据。</t>
        </is>
      </c>
      <c r="Q68" s="4" t="inlineStr">
        <is>
          <t>高</t>
        </is>
      </c>
      <c r="R68" s="2" t="inlineStr"/>
      <c r="S68" s="2" t="inlineStr">
        <is>
          <t>间作常用于土地资源不太丰富的产茶区，据原住茶农经验，茶-板栗间作系统生产的绿茶滋味更鲜美。该间作系统下茶叶长度和重量增加，两者根系垂直分层、协调共生，但间作提升鲜爽味的机制尚不完全清楚。结果表明：与同地区纯茶园相比，上世纪80年代建立的茶-板栗间作系统绿茶排名最高。非靶向代谢组学显示间作系统茶树叶片中100种差异代谢物上调；靶向代谢组学显示21种氨基酸上调、3种下调，其中约一半上调氨基酸对茶滋味有积极作用。间作系统中尿囊酸、糖类、糖醇和油酸水平更高，苦味类黄酮更少。上调的代谢物可促进茶叶品质及其保健功效。黄酮与黄酮醇生物合成及苯丙氨酸代谢差异最大；大量氨基酸代谢相关通路发生改变，表明板栗-茶间作可显著影响茶树氨基酸代谢。研究结果加深了对间作提升茶叶品质代谢机制的理解，表明通过该间作系统在代谢组学水平上提升茶叶品质具有巨大潜力。</t>
        </is>
      </c>
    </row>
    <row r="69">
      <c r="A69" s="2" t="n">
        <v>68</v>
      </c>
      <c r="B69" s="2" t="inlineStr">
        <is>
          <t>068_2021_The complete chloroplast genome of Castanea mollissima ‘Chuizhili’.md</t>
        </is>
      </c>
      <c r="C69" s="2" t="inlineStr">
        <is>
          <t>2021</t>
        </is>
      </c>
      <c r="D69" s="2" t="inlineStr">
        <is>
          <t>英文</t>
        </is>
      </c>
      <c r="E69" s="2" t="inlineStr">
        <is>
          <t>The complete chloroplast genome of Castanea mollissima ‘Chuizhili’</t>
        </is>
      </c>
      <c r="F69" s="2" t="inlineStr">
        <is>
          <t>板栗品种'垂枝栗'的完整叶绿体基因组</t>
        </is>
      </c>
      <c r="G69" s="2" t="inlineStr">
        <is>
          <t>Zhang S, Zhu C, Bai X, et al.</t>
        </is>
      </c>
      <c r="H69" s="2" t="inlineStr">
        <is>
          <t>Mitochondrial DNA Part B</t>
        </is>
      </c>
      <c r="I69" s="2" t="inlineStr">
        <is>
          <t>基因组与基因家族</t>
        </is>
      </c>
      <c r="J69" s="2" t="inlineStr">
        <is>
          <t>叶绿体基因组测序与系统发育</t>
        </is>
      </c>
      <c r="K69" s="2" t="inlineStr">
        <is>
          <t>板栗;垂枝栗;叶绿体基因组;系统发育;种质资源</t>
        </is>
      </c>
      <c r="L69" s="2" t="inlineStr">
        <is>
          <t>板栗品种'垂枝栗'(Chuizhili，垂枝型/weeping chestnut)新鲜叶片，采自南京中山植物园板栗种质资源圃，凭证标本号190823</t>
        </is>
      </c>
      <c r="M69" s="2" t="inlineStr">
        <is>
          <t>Illumina HiSeq 4000全基因组测序(150 bp双端);NOVOPlasty v2.7.2叶绿体基因组组装;GeSeq与Geneious注释;MAFFT比对;RAxML最大似然法(GTR+G模型,1000次bootstrap)构建系统发育树</t>
        </is>
      </c>
      <c r="N69" s="2" t="inlineStr">
        <is>
          <t>'垂枝栗'是中国板栗因枝条下垂而得名的品种，兼具观赏（树干扭曲、枝条下垂）与早果、丰产的育种价值，主要分布于山东及中国东部地区。本研究基于Illumina测序数据组装并注释其完整叶绿体基因组：全长160,799 bp，含大单拷贝区LSC(90,430 bp)、小单拷贝区SSC(18,997 bp)及一对25,686 bp的反向重复区(IR)；共注释130个基因，包括83个蛋白编码基因、37个tRNA基因、8个rRNA基因和2个假基因；总GC含量36.8%（LSC 34.6%、SSC 30.8%、IR 42.8%）。基于20个壳斗科完整叶绿体基因组和6个外类群的最大似然系统发育分析（1000次bootstrap）表明，'垂枝栗'与锥栗(Castanea henryi)亲缘关系最近（支持率100%）。结果为垂枝栗种质资源保护、品种分子鉴定和板栗系统发育研究提供了数据支持。</t>
        </is>
      </c>
      <c r="O69" s="2" t="inlineStr">
        <is>
          <t>叶绿体基因组全长160,799 bp，GenBank登录号MW322901;LSC 90,430 bp、SSC 18,997 bp、IR各25,686 bp;注释130个基因（83个蛋白编码、37个tRNA、8个rRNA、2个假基因）;总GC含量36.8%（LSC 34.6%、SSC 30.8%、IR 42.8%）;系统发育分析显示'垂枝栗'与锥栗(Castanea henryi)最亲近，bootstrap支持率100%;'垂枝栗'具垂枝特性，早果丰产，主要分布于山东及中国东部</t>
        </is>
      </c>
      <c r="P69" s="2" t="inlineStr">
        <is>
          <t>'垂枝栗'是枝条下垂、树干扭曲的观赏与矮化、早果丰产育种优良种质；其叶绿体基因组数据可用于板栗品种分子鉴定、种质资源评价和系统发育研究，辅助良种选育与新品种保护。</t>
        </is>
      </c>
      <c r="Q69" s="5" t="inlineStr">
        <is>
          <t>低</t>
        </is>
      </c>
      <c r="R69" s="2" t="inlineStr"/>
      <c r="S69" s="2" t="inlineStr">
        <is>
          <t>板栗'垂枝栗'因枝条下垂特性，是中国矮化板栗和观赏树木育种中的重要品种。本研究利用Illumina测序数据鉴定并测序了'垂枝栗'的完整叶绿体基因组。基因组大小为160,799 bp，包含大单拷贝区(LSC, 90,430 bp)、小单拷贝区(SSC, 18,997 bp)以及分隔它们的一对25,686 bp的反向重复(IR)区。共成功注释130个基因，包括83个蛋白编码基因、37个tRNA基因、8个rRNA基因和2个假基因。系统发育关系分析显示，'垂枝栗'与壳斗科的锥栗(Castanea henryi)亲缘关系最近。</t>
        </is>
      </c>
    </row>
    <row r="70">
      <c r="A70" s="2" t="n">
        <v>69</v>
      </c>
      <c r="B70" s="2" t="inlineStr">
        <is>
          <t>069_2021_Transcriptome analysis of genes involved in starch biosynthesis in developing Chinese chestnut (.md</t>
        </is>
      </c>
      <c r="C70" s="2" t="inlineStr">
        <is>
          <t>2021</t>
        </is>
      </c>
      <c r="D70" s="2" t="inlineStr">
        <is>
          <t>英文</t>
        </is>
      </c>
      <c r="E70" s="2" t="inlineStr">
        <is>
          <t>Transcriptome analysis of genes involved in starch biosynthesis in developing Chinese chestnut (Castanea mollissima Blume) seed kernels</t>
        </is>
      </c>
      <c r="F70" s="2" t="inlineStr">
        <is>
          <t>板栗种仁发育过程中淀粉生物合成相关基因的转录组分析</t>
        </is>
      </c>
      <c r="G70" s="2" t="inlineStr">
        <is>
          <t>Shi L, Wang J, Liu Y, et al.</t>
        </is>
      </c>
      <c r="H70" s="2" t="inlineStr">
        <is>
          <t>Scientific Reports</t>
        </is>
      </c>
      <c r="I70" s="2" t="inlineStr">
        <is>
          <t>生理与分子机制</t>
        </is>
      </c>
      <c r="J70" s="2" t="inlineStr">
        <is>
          <t>种仁淀粉积累动态与合成基因转录组</t>
        </is>
      </c>
      <c r="K70" s="2" t="inlineStr">
        <is>
          <t>板栗;种仁发育;淀粉积累;转录组;淀粉合成酶基因;qRT-PCR</t>
        </is>
      </c>
      <c r="L70" s="2" t="inlineStr">
        <is>
          <t>板栗品种'怀丰'(Huaifeng)10年生优树的果实/种仁，采自北京鹫峰国家森林公园，花后10-100 DAF共11个时期取样（转录组分析选用50-100 DAF六个时期）</t>
        </is>
      </c>
      <c r="M70" s="2" t="inlineStr">
        <is>
          <t>果形指数与鲜重测定;PAS染色光镜观察淀粉粒动态;双波长分光光度法测定蔗糖、直链/支链淀粉含量;Illumina HiSeq 2500转录组测序与DESeq差异表达分析;GO/KOG/KEGG功能注释与富集;qRT-PCR验证关键基因表达</t>
        </is>
      </c>
      <c r="N70" s="2" t="inlineStr">
        <is>
          <t>板栗种仁淀粉含量高，是食品工业潜在原料，但淀粉积累的分子调控机制不清。研究以'怀丰'为材料，观测花后10-100天果实发育、淀粉积累动态与淀粉粒显微特征，并对50-100 DAF六个关键时期种仁进行转录组测序。结果显示：淀粉快速积累期为60-90 DAF，90 DAF淀粉含量(335.60 mg/g DW)约为60 DAF(5.65 mg/g)的60倍；蔗糖在70 DAF达峰值(256.58 mg/g)后下降，先于淀粉大量积累、为其提供碳源；成熟种仁支链淀粉占总淀粉70.7%以上。测序获得约4000万条有效读段，38,146条unigene（平均1164.19 bp），各相邻时期鉴定出1968、1573、1187、1274和1494个差异表达基因，239个unigene与淀粉积累相关。鉴定出SUSY2、PGM、PGI、GPT、NTT、AGP2/3、GBSS1、SS1、SBE1、SBE2.1/2.2、ISA1/2/3和PHO等关键酶基因参与G-1-P、ADPG和淀粉的合成，并经qRT-PCR验证，为提高板栗淀粉含量提供候选基因。</t>
        </is>
      </c>
      <c r="O70" s="2" t="inlineStr">
        <is>
          <t>90 DAF淀粉含量335.60±7.45 mg/g DW，约为60 DAF(5.65±0.24 mg/g)的60倍，淀粉快速积累期60-90 DAF;蔗糖50 DAF 124.07→70 DAF峰值256.58→80 DAF 141.36 mg/g DW;成熟种仁(100 DAF)支链淀粉占总淀粉70.7%以上;果鲜重70 DAF 1.54 g→90 DAF 9.33 g（增6.1倍），果形指数10 DAF 0.96→60 DAF 0.76→100 DAF 0.86;获得38,146条unigene（平均长1164.19 bp），各相邻时期DEGs为1968/1573/1187/1274/1494条，239条与淀粉积累相关;GPT1转录本约为GPT2的6.8倍、GLT4的5.7倍;ISA3表达量约为ISA1/2的3-5倍;淀粉粒圆形或椭圆形、表面光滑、脐点偏心;测序数据登录PRJNA578603</t>
        </is>
      </c>
      <c r="P70" s="2" t="inlineStr">
        <is>
          <t>明确板栗淀粉快速积累期为花后60-90天（采前约1个月）、蔗糖先于淀粉积累（70 DAF达峰），提示此期加强肥水管理有助于提高淀粉含量和单粒重；成熟种仁支链淀粉占70%以上，为淀粉加工利用和采收期确定提供依据。</t>
        </is>
      </c>
      <c r="Q70" s="3" t="inlineStr">
        <is>
          <t>中</t>
        </is>
      </c>
      <c r="R70" s="2" t="inlineStr"/>
      <c r="S70" s="2" t="inlineStr">
        <is>
          <t>板栗种仁淀粉量高质优，已成为食品工业的潜在原料，但种仁发育过程中淀粉积累的分子调控机制仍不清楚。本研究首次分析了板栗种仁花后10天至100天(DAF)的果实发育、淀粉积累及淀粉粒动态显微观察，并选取50-100 DAF六个代表性时期种仁进行转录组测序。获得约4000万条有效读段（平均长124.95 bp），比对参考基因组得到38,146条unigene（平均长1164.19 bp）。利用DESeq方法在60:50、70:60、80:70、90:80和100:90 DAF分别鉴定出1968、1573、1187、1274和1494个差异表达unigene。将unigene转录谱与种仁淀粉动态模式关联分析，鉴定出编码SUSY2、PGM、PGI、GPT、NTT、AGP3、AGP2、GBSS1、SS1、SBE1、SBE2.1、SBE2.2、ISA1、ISA2、ISA3和PHO等代谢酶的特异性unigene，潜在参与G-1-P、ADPG和淀粉的生物合成。最后用qRT-PCR验证了关键酶基因（susy2、pgi2、gpt1、agp2、agp3、gbss1、ss1、sbe1、sbe2.1、sbe2.2、isa1、isa2、isa3、pho）的时序表达。研究结果有助于揭示板栗种仁淀粉积累的分子调控机制，并为提高板栗或其他淀粉作物的淀粉含量提供候选基因。</t>
        </is>
      </c>
    </row>
    <row r="71">
      <c r="A71" s="2" t="n">
        <v>70</v>
      </c>
      <c r="B71" s="2" t="inlineStr">
        <is>
          <t>070_2021_Transcriptome sequencing and differential expression analysis of seed starch accumulation in Chi.md</t>
        </is>
      </c>
      <c r="C71" s="2" t="inlineStr">
        <is>
          <t>2021</t>
        </is>
      </c>
      <c r="D71" s="2" t="inlineStr">
        <is>
          <t>英文</t>
        </is>
      </c>
      <c r="E71" s="2" t="inlineStr">
        <is>
          <t>Transcriptome sequencing and differential expression analysis of seed starch accumulation in Chinese chestnut (Metaxenia)</t>
        </is>
      </c>
      <c r="F71" s="2" t="inlineStr">
        <is>
          <t>板栗种子淀粉积累的转录组测序与差异表达分析（花粉直感效应）</t>
        </is>
      </c>
      <c r="G71" s="2" t="inlineStr">
        <is>
          <t>Li S, Shi Z, Zhu Q, et al.</t>
        </is>
      </c>
      <c r="H71" s="2" t="inlineStr">
        <is>
          <t>BMC Genomics</t>
        </is>
      </c>
      <c r="I71" s="2" t="inlineStr">
        <is>
          <t>育种与遗传资源</t>
        </is>
      </c>
      <c r="J71" s="2" t="inlineStr">
        <is>
          <t>授粉组合与花粉直感（种子淀粉积累转录组）</t>
        </is>
      </c>
      <c r="K71" s="2" t="inlineStr">
        <is>
          <t>板栗;花粉直感;授粉组合;淀粉积累;转录组;糖代谢</t>
        </is>
      </c>
      <c r="L71" s="2" t="inlineStr">
        <is>
          <t>云南永仁县维的乡（海拔1530-1700 m）板栗基地，母本'永丰1号'(平均单粒重约16 g)分别自花授粉(YFF)及用'永仁早'(平均单粒重12 g，7月下旬成熟，YFR)、'易门1'(平均单粒重14.51 g，8月中旬成熟，YFM)授粉，采集授粉后70/82/94天(S1-S3)种子</t>
        </is>
      </c>
      <c r="M71" s="2" t="inlineStr">
        <is>
          <t>人工套袋控制授粉组合;蒽酮比色法测可溶性糖、直接滴定法测还原糖、微量法测直链/支链淀粉;双抗体夹心ELISA测蔗糖合酶(SS)与淀粉合酶(SSS)活性;HiSeq 2000转录组测序(27个cDNA文库);WGCNA加权基因共表达网络分析与STEM时序聚类;GO/KEGG富集分析;qRT-PCR验证</t>
        </is>
      </c>
      <c r="N71" s="2" t="inlineStr">
        <is>
          <t>板栗果实特性和营养成分存在明显花粉直感(metaxenia)效应。以'永丰1号'为母本，分别自花授粉(YFF)及用'永仁早'(YFR)、'易门1'(YFM)授粉，研究授粉后70、82、94天(S1-S3)种仁淀粉与蔗糖代谢。生理测定表明糖含量、淀粉含量及SS、SSS活性在三种授粉组合间差异显著：自花授粉YFF种子在三个时期均小于YFR和YFM；YFR糖含量最高且成熟更快；淀粉含量随成熟度上升，种色越深淀粉含量越高；异花授粉的糖和淀粉含量高于自花授粉。转录组（27个文库、超11.4亿条高质量读段、检出9999个新基因）显示多数碳水化合物代谢基因在YFF的S2期和YFR/YFM的S3期高表达；淀粉粒结合淀粉合酶(EC 2.4.1.242)和ADP-葡萄糖焦磷酸化酶(EC 2.7.7.27)基因在94 DAP淀粉积累高峰期活跃表达；种子通过调控糖苷转移酶与糖苷水解酶活性控制可溶性糖、还原糖和淀粉的积累，S3期糖酵解受抑而糖异生增强。结果对板栗授粉树合理配置和新园科学规划具有重要指导意义。</t>
        </is>
      </c>
      <c r="O71" s="2" t="inlineStr">
        <is>
          <t>3个授粉组合×3个时期(70/82/94 DAP)共27个cDNA文库，测序获得超11.4亿条高质量读段，每生物学重复约4500万条;比对参考基因组获21,423个基因座位，检测到9,999个新基因;YFF自花授粉种子在S1-S3三个时期均小于YFR和YFM（花粉直感显著影响果实大小）;YFR可溶性糖含量高于YFM和YFF，YFM的SS活性最高，YFR种子成熟更快;种色越深淀粉含量越高，异花授粉糖/淀粉含量高于自花授粉;特异表达基因S2期YFF 1874/YFR 487/YFM 700个，S3期YFF 5862/YFR 8873/YFM 7711个;DEGs总数YFF 9545/YFR 9966/YFM 9973个;WGCNA划分22个共表达模块（各含85-2222个基因），turquoise/red/blue模块分别关联S1/S2/S3期;品种数据：'永丰1号'单粒重约16 g、'永仁早'12 g（7月下旬熟）、'易门1'14.51 g（8月中旬熟）;测序数据登录PRJNA540079</t>
        </is>
      </c>
      <c r="P71" s="2" t="inlineStr">
        <is>
          <t>板栗自花授粉坐果率低且花粉直感明显，种子大小、糖和淀粉含量受父本品种影响显著；新建栗园应配置花期相遇的异品种授粉树，选用早熟大果品种授粉可促进种子发育、提高糖和淀粉含量，实现优质早熟。</t>
        </is>
      </c>
      <c r="Q71" s="4" t="inlineStr">
        <is>
          <t>高</t>
        </is>
      </c>
      <c r="R71" s="2" t="inlineStr">
        <is>
          <t>与082号为同一研究的不同版本（预印本/正式发表）</t>
        </is>
      </c>
      <c r="S71" s="2" t="inlineStr">
        <is>
          <t>板栗种子是富含淀粉和蛋白质的重要食用坚果，已有研究表明其特性和营养成分存在明显的花粉直感(metaxenia)效应。为深入理解花粉直感对板栗淀粉和蔗糖代谢的影响，本研究以'永丰1号'、'永仁早'和'易门1'为父本对母本'永丰1号'授粉，研究了种仁三个淀粉积累阶段（授粉后70天S1、82天S2、94天S3）的淀粉与蔗糖代谢机制。结果：大多数碳水化合物代谢基因在自花授粉YFF的S2期及YFR、YFM的S3期高表达；S3期编码HSF_DNA结合、ACT、Pkinase和LIM蛋白的枢纽基因及4个转录因子高表达，YFF表达最高，YFR次之，YFM最低。此外，种仁70、82、94 DAP转录组分析显示淀粉粒结合淀粉合酶(EC 2.4.1.242)和ADP-葡萄糖焦磷酸化酶(EC 2.7.7.27)基因在94 DAP活跃表达。板栗种子在发育过程中通过调控糖苷转移酶和水解酶活性来控制可溶性糖、还原糖和淀粉的积累。这些结果和资源对进一步研究板栗花粉直感相关的淀粉、蔗糖及其他类型代谢具有重要指导意义。</t>
        </is>
      </c>
    </row>
    <row r="72">
      <c r="A72" s="2" t="n">
        <v>71</v>
      </c>
      <c r="B72" s="2" t="inlineStr">
        <is>
          <t>071_2020_Antibacterial effect of flavonoids in castanea mollissima blume on common spoilage bacteria in l.md</t>
        </is>
      </c>
      <c r="C72" s="2" t="inlineStr">
        <is>
          <t>2020</t>
        </is>
      </c>
      <c r="D72" s="2" t="inlineStr">
        <is>
          <t>英文</t>
        </is>
      </c>
      <c r="E72" s="2" t="inlineStr">
        <is>
          <t>Antibacterial effect of flavonoids in castanea mollissima blume on common spoilage bacteria in low-temperature meat products</t>
        </is>
      </c>
      <c r="F72" s="2" t="inlineStr">
        <is>
          <t>板栗苞黄酮对低温肉制品中常见腐败菌的抑菌作用</t>
        </is>
      </c>
      <c r="G72" s="2" t="inlineStr">
        <is>
          <t>Wenyu Zhang, Zhumeng Wu, Xiaoyue Wang et al.</t>
        </is>
      </c>
      <c r="H72" s="2" t="inlineStr">
        <is>
          <t>IOP Conference Series: Earth and Environmental Science, 508: 012152 (ICEMEE 2020)</t>
        </is>
      </c>
      <c r="I72" s="2" t="inlineStr">
        <is>
          <t>生物活性与功效</t>
        </is>
      </c>
      <c r="J72" s="2" t="inlineStr">
        <is>
          <t>板栗苞黄酮的抑菌活性</t>
        </is>
      </c>
      <c r="K72" s="2" t="inlineStr">
        <is>
          <t>板栗苞；黄酮类化合物；抑菌活性；最低抑菌浓度；低温肉制品；天然防腐剂</t>
        </is>
      </c>
      <c r="L72" s="2" t="inlineStr">
        <is>
          <t>板栗苞（栗蓬，Castanea mollissima blume，购自山东国润食品有限公司，粉碎过50目筛）；供试菌为从低温腐败肉中分离的变形杆菌（Proteus）、巨大球菌（Macrococcus）和芽孢杆菌（Bacillus）</t>
        </is>
      </c>
      <c r="M72" s="2" t="inlineStr">
        <is>
          <t>水提法分离黄酮苷（料液比1:10、60℃）；92%乙醇提取游离黄酮（料液比1:10、62℃、273 min）；牛津杯法测抑菌圈；滤纸片法测游离黄酮抑菌活性；倍比稀释测最低抑菌浓度（MIC）；600 nm OD值测生长曲线确定有效抑菌时间</t>
        </is>
      </c>
      <c r="N72" s="2" t="inlineStr">
        <is>
          <t>板栗苞黄酮对低温肉制品常见腐败菌中的变形杆菌和巨大球菌有抑菌作用，对芽孢杆菌无作用。黄酮苷活性强于游离黄酮：对巨大球菌抑菌圈17.76±0.20 mm、对变形杆菌16.32±0.12 mm，最低抑菌浓度（MIC）分别为0.0125和0.00625 g/mL，有效抑菌时间14 h；游离黄酮抑菌圈仅约7 mm，MIC均为0.0125 g/mL。因变形杆菌与巨大球菌属革兰氏阴性菌而芽孢杆菌属革兰氏阳性菌，提示板栗苞黄酮对革兰氏阴性菌抑制活性更强。生长曲线显示黄酮苷在14 h内显著抑制细菌增殖但不能全部杀灭，后期抑菌减弱可能与抑菌物质结构改变或细菌逐渐适应环境有关。板栗苞资源丰富、成本低廉，作为天然抑菌剂在肉制品保鲜中具有广阔应用前景。</t>
        </is>
      </c>
      <c r="O72" s="2" t="inlineStr">
        <is>
          <t>黄酮苷对巨大球菌抑菌圈17.76±0.20 mm、对变形杆菌16.32±0.12 mm；黄酮苷MIC：变形杆菌0.00625 g/mL、巨大球菌0.0125 g/mL；游离黄酮抑菌圈7.32±0.18 mm（变形杆菌）和7.29±0.23 mm（巨大球菌）、MIC均0.0125 g/mL；有效抑菌时间14 h；对芽孢杆菌（革兰氏阳性）无抑菌作用；黄酮苷提取：水提、料液比1:10、60℃；游离黄酮提取：92%乙醇、料液比1:10、62℃、273 min；37℃培养15 h测抑菌圈</t>
        </is>
      </c>
      <c r="P72" s="2" t="inlineStr">
        <is>
          <t>为板栗采收废弃副产物栗蓬（板栗苞）的高值化利用提供新途径：可开发为天然食品防腐剂用于低温肉制品保鲜，替代化学防腐剂，契合消费者对天然抑菌剂的需求。</t>
        </is>
      </c>
      <c r="Q72" s="4" t="inlineStr">
        <is>
          <t>高</t>
        </is>
      </c>
      <c r="R72" s="2" t="inlineStr"/>
      <c r="S72" s="2" t="inlineStr">
        <is>
          <t>采用牛津杯法和滤纸片法测定板栗苞提取黄酮对低温肉制品中三种常见腐败菌（变形杆菌、巨大球菌、芽孢杆菌）的抑菌效果。结果表明，板栗苞黄酮对变形杆菌和巨大球菌有抑菌作用：黄酮苷的抑菌圈直径分别为16.32 mm和17.76 mm，最低抑菌浓度分别为0.00625 g/mL和0.0125 g/mL，有效抑菌时间14 h；游离黄酮最大抑菌圈7 mm，最低抑菌浓度0.0125 g/mL；二者对芽孢杆菌均无抑菌作用。板栗苞黄酮作为天然抑菌剂，未来在肉制品中可能有重要应用。</t>
        </is>
      </c>
    </row>
    <row r="73">
      <c r="A73" s="2" t="n">
        <v>72</v>
      </c>
      <c r="B73" s="2" t="inlineStr">
        <is>
          <t>072_2020_Construction of Pseudomolecules for the Chinese Chestnut ( Castanea mollissima ) Genome.md</t>
        </is>
      </c>
      <c r="C73" s="2" t="inlineStr">
        <is>
          <t>2020</t>
        </is>
      </c>
      <c r="D73" s="2" t="inlineStr">
        <is>
          <t>英文</t>
        </is>
      </c>
      <c r="E73" s="2" t="inlineStr">
        <is>
          <t>Construction of Pseudomolecules for the Chinese Chestnut (Castanea mollissima) Genome</t>
        </is>
      </c>
      <c r="F73" s="2" t="inlineStr">
        <is>
          <t>中国板栗基因组伪分子（染色体水平序列）的构建</t>
        </is>
      </c>
      <c r="G73" s="2" t="inlineStr">
        <is>
          <t>Jinping Wang, Shoule Tian, Xiaoli Sun et al.</t>
        </is>
      </c>
      <c r="H73" s="2" t="inlineStr">
        <is>
          <t>G3: Genes|Genomes|Genetics, 2020, 10(10): 3565-3574 (Genome Report)</t>
        </is>
      </c>
      <c r="I73" s="2" t="inlineStr">
        <is>
          <t>基因组与基因家族</t>
        </is>
      </c>
      <c r="J73" s="2" t="inlineStr">
        <is>
          <t>基因组组装与比较基因组学</t>
        </is>
      </c>
      <c r="K73" s="2" t="inlineStr">
        <is>
          <t>板栗基因组；PacBio长读长测序；Hi-C；染色体水平组装；比较基因组学；栗苞发育基因</t>
        </is>
      </c>
      <c r="L73" s="2" t="inlineStr">
        <is>
          <t>板栗实生优系N11-1（具有典型板栗表型且高产、高糖，保存于山东省果树研究所万吉山试验示范站，泰安），取叶片提取基因组DNA；根、茎、叶、花序、果实用于转录组测序</t>
        </is>
      </c>
      <c r="M73" s="2" t="inlineStr">
        <is>
          <t>PacBio长读长测序（约90×覆盖，66.98 Gb subreads）与Illumina短读（54.55 Gb）；Canu与wtdbg两种组装、Quickmerge合并；Hi-C测序（约170×，110.83 Gb）用LACHESIS挂载到12条染色体；BUSCO评估完整性；ab initio+同源预测+RNA-Seq三策略基因预测（EVM整合）；与8种植物比较基因组分析（OrthoMCL、MCScanX共线性、CAFE基因家族扩张收缩、MCMCtree分化时间）；组织特异表达与DEG分析（DESeq2）</t>
        </is>
      </c>
      <c r="N73" s="2" t="inlineStr">
        <is>
          <t>构建了当时连续性最高、质量最好的板栗染色体水平参考基因组：总长688.93 Mb，contig N50达2.83 Mb（较已发表基因组的944.5 kb提高约3倍），99.75%序列锚定到12条染色体，97.07%序列实现准确定向；预测33,638个蛋白编码基因；重复序列占53.24%，以LTR反转录转座子（24.17%）最多；基因组杂合度约0.78%，k-mer估计基因组大小655.18 Mb。比较基因组表明板栗与欧洲栎（Quercus robur）为姊妹类群，分化时间约1830万年前，两基因组间有18,399个共线性基因（占30.95%），基因/性状信息可互通。板栗有1,057个扩张基因家族和508个特有基因家族（含3,201个基因），涉及植物-病原互作、淀粉与蔗糖代谢、自交不亲和S1家族等通路，与其高淀粉坚果营养及对栗疫病、根腐病的抗性相关。组织特异表达分析鉴定2,533个组织特异基因，其中3个基因（EVM0005986、EVM0008813、EVM0017354）仅在带栗苞完整果实中表达，推测与栗苞刺束发育有关，为少刺/无刺品种改良提供候选靶点。</t>
        </is>
      </c>
      <c r="O73" s="2" t="inlineStr">
        <is>
          <t>基因组组装688.93 Mb（688,929,566 bp）；contig N50 2.83 Mb（2,828,629 bp）、最长contig 19.3 Mb；671条contig；12条假染色体；99.75%序列锚定、97.07%定向；33,638个蛋白编码基因；97.73%基因获功能注释；重复序列53.24%（LTR 24.17%、DNA转座子5.52%）；杂合度0.78%；k-mer估计基因组655.18 Mb；与欧洲栎分化约18.3 Mya；共线性基因18,399个（30.95%）；扩张基因家族1,057个；特有基因家族508个（3,201个基因，含植物-病原互作4个、维生素B6代谢3个、淀粉蔗糖代谢2个、错配修复1个、自交不亲和S1家族2个）；组织特异基因2,533个（幼果569、根775、茎247、叶298、花644）；栗苞特异表达基因3个（EVM0008813注释为根分生组织生长因子3）；BUSCO完整度92.44%（完整单拷贝88.79%）</t>
        </is>
      </c>
      <c r="P73" s="2" t="inlineStr">
        <is>
          <t>为板栗分子育种提供高质量参考基因组，加速抗病性、栗苞刺性状（少刺无刺品种，减少采收扎伤）、坚果品质等重要性状基因定位与标记辅助选择，支撑更快更可预测的品种改良计划。</t>
        </is>
      </c>
      <c r="Q73" s="5" t="inlineStr">
        <is>
          <t>低</t>
        </is>
      </c>
      <c r="R73" s="2" t="inlineStr"/>
      <c r="S73" s="2" t="inlineStr">
        <is>
          <t>中国板栗是高生态价值的木本坚果作物，虽已有众多品种选自天然实生苗，但综合性状优良的品系仍然稀少。利用全基因组序列发掘遗传资源对板栗现代育种意义重大。本研究结合90×PacBio长读长测序与170×Hi-C数据，构建了高质量的板栗基因组：总长688.93 Mb，contig N50为2.83 Mb；99.75%的组装序列锚定到12条染色体，97.07%的序列被准确锚定和定向；共预测33,638个蛋白编码基因。比较基因组与转录组分析揭示了各组织特异表达基因以及与板栗栗苞发育相关的基因。该高连续性基因组为鉴定和解析重要农艺性状提供宝贵资源，并将助力设计更具针对性、更快速、更可预测的板栗育种计划。</t>
        </is>
      </c>
    </row>
    <row r="74">
      <c r="A74" s="2" t="n">
        <v>73</v>
      </c>
      <c r="B74" s="2" t="inlineStr">
        <is>
          <t>073_2020_Desiccation sensitivity of wild Castanea mollissima Blume determined by differential scanning ca.md</t>
        </is>
      </c>
      <c r="C74" s="2" t="inlineStr">
        <is>
          <t>2020</t>
        </is>
      </c>
      <c r="D74" s="2" t="inlineStr">
        <is>
          <t>英文</t>
        </is>
      </c>
      <c r="E74" s="2" t="inlineStr">
        <is>
          <t>Desiccation sensitivity of wild Castanea mollissima Blume determined by differential scanning calorimetry</t>
        </is>
      </c>
      <c r="F74" s="2" t="inlineStr">
        <is>
          <t>利用差示扫描量热法（DSC）测定野生板栗种子的脱水敏感性</t>
        </is>
      </c>
      <c r="G74" s="2" t="inlineStr">
        <is>
          <t>Biao Han, Lu Lu, Su-Juan Guo et al.</t>
        </is>
      </c>
      <c r="H74" s="2" t="inlineStr">
        <is>
          <t>Bangladesh Journal of Botany, 2020, 49(4): 975-980</t>
        </is>
      </c>
      <c r="I74" s="2" t="inlineStr">
        <is>
          <t>生理与分子机制</t>
        </is>
      </c>
      <c r="J74" s="2" t="inlineStr">
        <is>
          <t>顽拗型种子脱水敏感性与超低温保存</t>
        </is>
      </c>
      <c r="K74" s="2" t="inlineStr">
        <is>
          <t>顽拗型种子；脱水敏感性；差示扫描量热法（DSC）；超低温保存；胚轴含水量；不冻水含量</t>
        </is>
      </c>
      <c r="L74" s="2" t="inlineStr">
        <is>
          <t>野生板栗种子（2018年9月采自陕西省宝鸡市山区，N34°5'41''、E107°39'50''，海拔884.6 m；单粒重3.5±0.3 g），胚轴（胚）</t>
        </is>
      </c>
      <c r="M74" s="2" t="inlineStr">
        <is>
          <t>硅胶干燥0-7天梯度处理（每日更换硅胶，25±2℃）；重量法测含水量（103℃烘17 h至恒重）；TTC法测生活力（1% TTC、30℃、3 h）；差示扫描量热法（DSC，TA D250，30℃以10℃/min降至-150℃）分析热特性；ANOVA结合Tukey检验（P&lt;0.05）</t>
        </is>
      </c>
      <c r="N74" s="2" t="inlineStr">
        <is>
          <t>证实板栗种子为顽拗型（脱水敏感型）种子：硅胶干燥使胚含水量从1.59降至0.29 gH2O/g dw，生活力由90.48%降至47.62%。DSC分析表明胚含水量≥0.47 gH2O/g dw时出现放热结晶峰（自由水结冰导致冰冻伤害），干燥4天、含水量降至0.45±0.15 gH2O/g dw时放热峰消失且生活力仍保持76.19%；板栗胚不冻水含量（WCu）为0.247 gH2O/g dw（R²=0.897），若将胚干燥到不冻水含量水平将导致大部分胚轴死亡（0.29 gH2O/g dw时存活率仅47.62%），板栗胚半致死含水量低于0.29 gH2O/g dw，与欧洲栗报道相似。起始温度与结晶峰温度随含水量降低而下降（起始温度-14.38℃→-28.95℃，峰温-14.78℃→-35.09℃），说明自由水越少越难结冰，有利于冷藏。综合放热峰、不冻水含量、起始温度与生活力损失四方面，确定0.45 gH2O/g dw为野生板栗胚超低温保存的最适含水量（存活率76.19%）；含水量高于0.45 gH2O/g dw时须在低于起始温度的环境贮藏以避免冰冻伤害。</t>
        </is>
      </c>
      <c r="O74" s="2" t="inlineStr">
        <is>
          <t>新鲜胚含水量1.59 gH2O/g dw、生活力90.48%；干燥第1天胚含水量下降54.1%而整粒种子仅降34.7%；干燥4天含水量0.45±0.15 gH2O/g dw、生活力76.19%（超低温保存最适含水量）；含水量降至0.38 gH2O/g dw时存活率显著降至57.14%；干燥7天0.29 gH2O/g dw存活率47.62%；不冻水含量0.247 gH2O/g dw（R²=0.897）；结晶峰出现阈值0.47 gH2O/g dw；起始温度由-14.38℃（含水量1.59）降至-28.95℃（0.47）、峰温由-14.78℃降至-35.09℃；胚1-7天含水量降幅依次为54.1%、15.1%、24.2%、4.3%、15.6%、10.5%、14.7%</t>
        </is>
      </c>
      <c r="P74" s="2" t="inlineStr">
        <is>
          <t>板栗种子忌脱水、不耐常规种子库长期保存：种质保存或短期贮藏时应保持胚含水量约0.45 gH2O/g dw，既避免自由水结冰伤害又最大限度保持生活力（76.19%），为板栗种子贮藏与超低温种质库保存提供量化技术参数。</t>
        </is>
      </c>
      <c r="Q74" s="4" t="inlineStr">
        <is>
          <t>高</t>
        </is>
      </c>
      <c r="R74" s="2" t="inlineStr"/>
      <c r="S74" s="2" t="inlineStr">
        <is>
          <t>研究了不同含水量野生板栗种子胚的热力学特性及超低温保存的最适含水量。将大小重量相近（3.5±0.3 g）的种子在硅胶中干燥0-7天，每天测定胚含水量、生活力和热特性。结果表明：起始温度和结晶峰平均焓随胚含水量降低而下降；干燥4天、胚含水量0.45±0.15 gH2O/g dw时放热峰消失；不冻水含量（WCu）为0.247 gH2O/g dw；最适含水量为0.45±0.15 gH2O/g dw，生活力76.2%。板栗胚轴脱水需综合考量放热峰、不冻水含量、起始温度与生活力损失。</t>
        </is>
      </c>
    </row>
    <row r="75">
      <c r="A75" s="2" t="n">
        <v>74</v>
      </c>
      <c r="B75" s="2" t="inlineStr">
        <is>
          <t>074_2020_Development of Chinese chestnut whiskey_ yeast strains isolation, fermentation system optimizati.md</t>
        </is>
      </c>
      <c r="C75" s="2" t="inlineStr">
        <is>
          <t>2020</t>
        </is>
      </c>
      <c r="D75" s="2" t="inlineStr">
        <is>
          <t>英文</t>
        </is>
      </c>
      <c r="E75" s="2" t="inlineStr">
        <is>
          <t>Development of Chinese chestnut whiskey: yeast strains isolation, fermentation system optimization, and scale-up fermentation</t>
        </is>
      </c>
      <c r="F75" s="2" t="inlineStr">
        <is>
          <t>板栗威士忌的开发：酵母菌株分离、发酵体系优化与放大发酵</t>
        </is>
      </c>
      <c r="G75" s="2" t="inlineStr">
        <is>
          <t>Shoubao Yan, Qianqian Wu, Jiaquan Guang et al.</t>
        </is>
      </c>
      <c r="H75" s="2" t="inlineStr">
        <is>
          <t>Research Square预印本（DOI: 10.21203/rs.3.rs-70100/v1，2020-09-18发布）</t>
        </is>
      </c>
      <c r="I75" s="2" t="inlineStr">
        <is>
          <t>加工与贮藏</t>
        </is>
      </c>
      <c r="J75" s="2" t="inlineStr">
        <is>
          <t>板栗发酵蒸馏酒（威士忌）酿造与混菌发酵优化</t>
        </is>
      </c>
      <c r="K75" s="2" t="inlineStr">
        <is>
          <t>板栗威士忌；酵母菌株；共培养发酵；挥发性风味物质；发酵优化；中试放大</t>
        </is>
      </c>
      <c r="L75" s="2" t="inlineStr">
        <is>
          <t>板栗与糯米（2019年10月购自安徽省霍山县零售市场）、麦芽（郑州陇海啤酒原料公司）；从浓香型大曲分离的16株酵母，重点为HN006（酿酒酵母Saccharomyces cerevisiae）与HN010（异常威克汉姆酵母Wickerhamomyces anomalus）</t>
        </is>
      </c>
      <c r="M75" s="2" t="inlineStr">
        <is>
          <t>嗅觉平板（sniff test）初筛产香酵母；rep-PCR（(GTG)5引物）指纹分型+26S rRNA D1/D2区测序鉴定；SPME-GC-MS（HS-SPME-GC-MS）定量挥发性风味化合物并以2-辛醇为内标；发酵动力学参数测定（乙醇浓度、糖利用率、得率、体积生产强度）；感官评价（香气、滋味、口感、余味、总体可接受性）；单因素优化接种量、原料配比、酵母浸粉添加量；1000 L中试罐放大验证（30℃、100 rpm）</t>
        </is>
      </c>
      <c r="N75" s="2" t="inlineStr">
        <is>
          <t>以板栗为主原料开发新型威士忌：从大曲分离16株酵母（分属8属8簇），依据产香与感官筛出9株；HN010（异常威克汉姆酵母）产香最强（苹果玫瑰香，+++级），产酯量最高（16.456 µg/mL，为HN006的3.22倍），感官评分最高（滋味7.37、香气7.76、口感7.64、余味6.90、总体7.12）但产乙醇能力弱（76.678 g/L）；HN006（酿酒酵母）发酵力最强（乙醇90.220±0.874 g/L、糖利用率99.5%、得率0.467 g/g、体积生产强度0.752 g/L/h）但风味平淡。二者共培养优化出最佳条件：混合接种量6%（v/v）、HN006:HN010=1:2（v/v）、原料比板栗:麦芽:糯米=5:3:2（w/w/w）、酵母浸粉6 g/L（此时乙醇92.587±3.872 g/L、感官评分8.910±0.300）；并在1000 L中试罐成功放大，三批发酵关键参数稳定，最高乙醇浓度190.56 g/L、得率0.487 g/g。该研究首次报道板栗酒的混合培养发酵体系。注：本文为2020年9月18日发布的预印本，与075号为同一研究的另一预印本版本（075于2020年10月14日发布并对应2021年正式发表版）。</t>
        </is>
      </c>
      <c r="O75" s="2" t="inlineStr">
        <is>
          <t>16株酵母分8簇（8属：Wickerhamomyces、Saccharomyces、Hanseniaspora、Pichia、Trichosporon、Kluyveromyces、Galactomyces、Yarrowia等）；HN006最大乙醇浓度90.220±0.874 g/L、糖利用率99.5%、乙醇得率0.467±0.043 g/g、体积生产强度0.752±0.026 g/L/h（120 h）；HN010酯类总量16.456 µg/mL（为HN006的3.22倍、HN009的3.70倍）、挥发酸14.721 µg/mL，感官总分7.12（滋味7.37、香气7.76、口感7.64、余味6.90）；最优条件：接种量6%（v/v）、HN006:HN010=1:2、原料5:3:2、酵母浸粉6 g/L（乙醇92.587±3.872 g/L、感官8.910±0.300）；糖化工艺：α-淀粉酶10 U/g（pH 5.5、90℃、30 min）+糖化酶200 U/g（pH 4.5、60℃、6 h）、料水比1:3、113℃灭菌10 min；30℃发酵6天后双重蒸馏得60% vol原酒；1000 L中试（900 L装液、30℃、100 rpm）：HN006与HN010分别48 h和36 h达最大菌量（2.065×10^8和4.201×10^8 CFU/mL），最高乙醇浓度190.56 g/L、得率0.487 g/g，3天完成3批且参数稳定</t>
        </is>
      </c>
      <c r="P75" s="2" t="inlineStr">
        <is>
          <t>为板栗深加工高值化提供成套可行工艺与专用菌株组合（酿酒酵母HN006+产香酵母HN010共培养），可把板栗转化为威士忌类蒸馏酒，缓解板栗卖难与贮藏损耗（发芽、霉变、虫蛀），并已通过1000 L中试验证，具备产业化基础。</t>
        </is>
      </c>
      <c r="Q75" s="4" t="inlineStr">
        <is>
          <t>高</t>
        </is>
      </c>
      <c r="R75" s="2" t="inlineStr">
        <is>
          <t>与063号、075号为同一研究的不同版本（预印本/正式发表）</t>
        </is>
      </c>
      <c r="S75" s="2" t="inlineStr">
        <is>
          <t>本研究以中国板栗为主要原料开发新型威士忌。首先利用嗅觉平板法分离鉴定16株产香酵母，再依据发酵力、香气轮廓和感官评价筛选出9株。结果表明酿酒酵母HN006（产乙醇最多但香气差）与异常威克汉姆酵母HN010（香气浓郁、感官评分高但乙醇产量较低）组合可获得发酵性能满意且香气有趣的酒体。随后共培养优化发酵体系，确定最优参数：混合接种量6%（v/v）、HN006/HN010比例1:2（v/v）、原料比板栗:麦芽:糯米=5:3:2、酵母浸粉6 g/L。该发酵体系成功放大至1000 L中试系统。HN006和HN010可作为威士忌发酵的备选菌株，并为评估其他微生物提供了通用实验方案。</t>
        </is>
      </c>
    </row>
    <row r="76">
      <c r="A76" s="2" t="n">
        <v>75</v>
      </c>
      <c r="B76" s="2" t="inlineStr">
        <is>
          <t>075_2020_Development of Chinese Chestnut Whiskey_ Yeast Strains Isolation, Fermentation System Optimizati.md</t>
        </is>
      </c>
      <c r="C76" s="2" t="inlineStr">
        <is>
          <t>2020</t>
        </is>
      </c>
      <c r="D76" s="2" t="inlineStr">
        <is>
          <t>英文</t>
        </is>
      </c>
      <c r="E76" s="2" t="inlineStr">
        <is>
          <t>Development of Chinese Chestnut Whiskey: Yeast Strains Isolation, Fermentation System Optimization, and Scale-Up Fermentation</t>
        </is>
      </c>
      <c r="F76" s="2" t="inlineStr">
        <is>
          <t>板栗威士忌的开发：酵母菌株分离、发酵体系优化与放大发酵</t>
        </is>
      </c>
      <c r="G76" s="2" t="inlineStr">
        <is>
          <t>Cuie Shi, Shoubao Yan, Jiaquan Guang et al.</t>
        </is>
      </c>
      <c r="H76" s="2" t="inlineStr">
        <is>
          <t>Research Square预印本（DOI: 10.21203/rs.3.rs-90825/v1，2020-10-14发布；正式版2021-01-11发表于AMB Express，doi:10.1186/s13568-020-01175-4）</t>
        </is>
      </c>
      <c r="I76" s="2" t="inlineStr">
        <is>
          <t>加工与贮藏</t>
        </is>
      </c>
      <c r="J76" s="2" t="inlineStr">
        <is>
          <t>板栗发酵蒸馏酒（威士忌）酿造与混菌发酵优化</t>
        </is>
      </c>
      <c r="K76" s="2" t="inlineStr">
        <is>
          <t>板栗威士忌；酵母菌株；共培养发酵；挥发性风味物质；发酵优化；中试放大</t>
        </is>
      </c>
      <c r="L76" s="2" t="inlineStr">
        <is>
          <t>板栗与糯米（2019年10月购自安徽省霍山县零售市场）、麦芽（郑州陇海啤酒原料公司）；从浓香型大曲分离的16株酵母（26S rRNA序列GenBank登录号MW076944-MW076959），核心菌株HN006（酿酒酵母，保藏号CICC1035）与HN010（异常威克汉姆酵母Wickerhamomyces anomalus，保藏号CICC1783）</t>
        </is>
      </c>
      <c r="M76" s="2" t="inlineStr">
        <is>
          <t>嗅觉平板（sniff test）初筛产香酵母；rep-PCR（(GTG)5引物）分型+26S rRNA D1/D2区测序鉴定；SPME-GC-MS定量挥发性风味物质（2-辛醇内标）+热图聚类；发酵动力学参数测定；感官评价（ISO品评杯、三位随机编码）；单因素优化（接种量、原料配比、酵母浸粉）；种子液逐级扩培（250 mL→500 mL摇瓶→10 L→150 L发酵罐，30℃、300 rpm、VVM 4.0、24 h）后1000 L中试放大（30℃、100 rpm）</t>
        </is>
      </c>
      <c r="N76" s="2" t="inlineStr">
        <is>
          <t>本文件与074号论文为同一研究（板栗威士忌开发）在Research Square上的两个预印本版本：本文于2020年10月14日发布，对应2021年1月11日正式发表版（AMB Express, doi:10.1186/s13568-020-01175-4），074号于2020年9月18日先期发布。核心结果与074一致：从大曲分离16株酵母并筛选出9株，酿酒酵母HN006产乙醇最多（90.220±0.874 g/L、糖利用率99.5%、得率0.467 g/g）但香气差；异常威克汉姆酵母HN010香气最浓、产酯最高（16.456 µg/mL）、感官评分最高（总体7.12）但产乙醇弱（76.678 g/L）；二者共培养最优条件为接种量6%（v/v）、HN006:HN010=1:2、原料比板栗:麦芽:糯米=5:3:2、酵母浸粉6 g/L（乙醇92.587 g/L、感官8.910），并成功放大至1000 L中试（最高乙醇190.56 g/L、得率0.487 g/g，三批稳定）。本版本新增内容：两菌株已保藏于中国工业微生物菌种保藏管理中心（CICC1035、CICC1783），16株酵母序列获GenBank登录号（MW076944-MW076959），补充了10 L/150 L种子罐逐级扩培工艺参数，并扩充了讨论——纯酿酒酵母发酵导致威士忌风味同质化，非酿酒酵母共培养可产生醇类、酯类、酸类等多种代谢物以增强风味、丰富口感。</t>
        </is>
      </c>
      <c r="O76" s="2" t="inlineStr">
        <is>
          <t>菌株保藏：HN006=CICC1035、HN010=CICC1783（中国工业微生物菌种保藏管理中心）；16株酵母26S rRNA序列GenBank登录号MW076944-MW076959；HN006最大乙醇90.220±0.874 g/L、糖利用率99.5%、得率0.467±0.043 g/g、生产强度0.752 g/L/h（120 h）；HN010酯类16.456 µg/mL（HN006的3.22倍）、感官总体7.12；最优条件：接种量6%（v/v）、HN006:HN010=1:2、原料5:3:2（w/w/w）、酵母浸粉6 g/L（乙醇92.587±3.872 g/L、感官8.910±0.300）；扩培工艺：10 L与150 L罐30℃、300 rpm、VVM 4.0培养24 h，接种量按血球计数板计数确定；1000 L中试（900 L装液）：HN006/HN010最大菌量2.065×10^8/4.201×10^8 CFU/mL（48 h/36 h），最高乙醇190.56 g/L、得率0.487 g/g，3天3批参数一致；糖化：α-淀粉酶10 U/g（pH5.5、90℃、30 min）+糖化酶200 U/g（pH4.5、60℃、6 h）；双蒸终酒精度60% vol</t>
        </is>
      </c>
      <c r="P76" s="2" t="inlineStr">
        <is>
          <t>与074为同一研究，提供可直接引用的产业化要素：保藏菌株（CICC1035、CICC1783）、逐级种子扩培工艺（10 L→150 L→1000 L）、最优发酵配方与中试验证结果，便于酒厂和企业按图索骥开展板栗威士忌生产。</t>
        </is>
      </c>
      <c r="Q76" s="4" t="inlineStr">
        <is>
          <t>高</t>
        </is>
      </c>
      <c r="R76" s="2" t="inlineStr">
        <is>
          <t>与063号、074号为同一研究的不同版本（预印本/正式发表）</t>
        </is>
      </c>
      <c r="S76" s="2" t="inlineStr">
        <is>
          <t>本研究以中国板栗为主要原料开发新型威士忌。首先利用嗅觉平板法分离鉴定16株产香酵母，依据发酵力、香气轮廓和感官评价筛选出9株。结果表明HN006（酿酒酵母）与HN010（异常威克汉姆酵母）组合可获得发酵性能满意且香气独特的酒体：HN010香气浓郁、感官评分高但乙醇产量较低，HN006香气欠佳但产乙醇最多。共培养优化发酵体系确定最优参数：混合接种量6%（v/v）、HN006/HN010=1:2（v/v）、原料比板栗:麦芽:糯米=5:3:2、酵母浸粉6 g/L。该体系成功放大至1000 L中试系统。HN006与HN010可作为威士忌发酵菌株，并为其他微生物评估提供通用方案。</t>
        </is>
      </c>
    </row>
    <row r="77">
      <c r="A77" s="2" t="n">
        <v>76</v>
      </c>
      <c r="B77" s="2" t="inlineStr">
        <is>
          <t>076_2020_Effects of GABA and Vigabatrin on the Germination of Chinese Chestnut Recalcitrant Seeds and Its.md</t>
        </is>
      </c>
      <c r="C77" s="2" t="inlineStr">
        <is>
          <t>2020</t>
        </is>
      </c>
      <c r="D77" s="2" t="inlineStr">
        <is>
          <t>英文</t>
        </is>
      </c>
      <c r="E77" s="2" t="inlineStr">
        <is>
          <t>Effects of GABA and Vigabatrin on the Germination of Chinese Chestnut Recalcitrant Seeds and Its Implications for Seed Dormancy and Storage</t>
        </is>
      </c>
      <c r="F77" s="2" t="inlineStr">
        <is>
          <t>γ-氨基丁酸（GABA）和氨己烯酸（VGB）对中国板栗顽拗性种子萌发的影响及其对种子休眠与贮藏的启示</t>
        </is>
      </c>
      <c r="G77" s="2" t="inlineStr">
        <is>
          <t>Changjian Du, Wei Chen, Yanyan Wu, et al.（通讯作者：Shengqing Shi，中国林业科学研究院林业研究所）</t>
        </is>
      </c>
      <c r="H77" s="2" t="inlineStr">
        <is>
          <t>Plants, 2020, 9(4): 449</t>
        </is>
      </c>
      <c r="I77" s="2" t="inlineStr">
        <is>
          <t>生理与分子机制</t>
        </is>
      </c>
      <c r="J77" s="2" t="inlineStr">
        <is>
          <t>种子休眠与萌发生理（GABA代谢）</t>
        </is>
      </c>
      <c r="K77" s="2" t="inlineStr">
        <is>
          <t>板栗；γ-氨基丁酸；种子萌发；碳氮代谢；种子休眠；顽拗性种子</t>
        </is>
      </c>
      <c r="L77" s="2" t="inlineStr">
        <is>
          <t>中国板栗品种'燕山早丰'种子（采自河北唐山迁西县核心板栗产区，0–1 °C贮藏）；处理：10 mM外源GABA、100 µM GABA转氨酶抑制剂氨己烯酸（VGB）浸泡15 h；沙培萌发，气候室16 h光照(25 °C)/8 h黑暗(20 °C)、60%相对湿度</t>
        </is>
      </c>
      <c r="M77" s="2" t="inlineStr">
        <is>
          <t>种子萌发率与根长测定（第2、5、8、15、30天）；分光光度法测定H2O2、可溶性糖、淀粉、可溶性蛋白、总氨基酸；HPLC测定有机酸（柠檬酸、苹果酸）、游离氨基酸和GABA含量；主成分分析（PCA）；ANOVA方差分析（SPSS 16.0）</t>
        </is>
      </c>
      <c r="N77" s="2" t="inlineStr">
        <is>
          <t>以燕山早丰板栗为材料，研究外源GABA（10 mM）和GABA降解抑制剂VGB（100 µM）对顽拗性板栗种子萌发的影响。两种处理均显著抑制种子萌发和初生根生长，萌发率分别较对照降低11.0–17.2%和17.7–21.1%；处理显著诱导H2O2积累（0 h时分别增加94.0%和163.0%）。未处理种子萌发前内源GABA由185.5 µg/g FW升至48 h的767.3 µg/g，120 h后降至422.6；处理使48 h内源GABA下降22.1–23.5%。处理还改变碳氮代谢：120 h时柠檬酸下降34.2%/65.8%、苹果酸升高1.8/5.1倍，48 h时12种游离氨基酸减少，淀粉含量无显著变化。结果表明GABA水平变化可能通过打破碳氮代谢平衡抑制板栗种子萌发，提示内源GABA参与种子休眠调控，对种栗越冬贮藏有参考价值；板栗种子富含GABA，兼具功能性食品开发潜力。</t>
        </is>
      </c>
      <c r="O77" s="2" t="inlineStr">
        <is>
          <t>对照种子第5–30天萌发率增加27.8–54.8%；GABA处理使萌发率降低11.0–17.2%，VGB降低17.7–21.1%；未处理种子内源GABA 185.5→767.3（48 h）→422.6 µg/g FW（120 h）；处理使48 h内源GABA下降22.1–23.5%；0 h时H2O2较对照增加94.0%（GABA）和163.0%（VGB）；120 h柠檬酸分别下降34.2%和65.8%，苹果酸增加1.8倍和5.1倍；48 h时Ser、His、Arg、Thr、Pro、Tyr、Val、Met、Lys、Ile、Phe、Leu共12种游离氨基酸减少；PCA中48 h时PC1/PC2解释62%/12%变异，120 h时解释67%/14%</t>
        </is>
      </c>
      <c r="P77" s="2" t="inlineStr">
        <is>
          <t>为种栗越冬贮藏和砧木育苗提供理论依据：内源GABA水平与休眠相关，调控GABA代谢可能有助于抑制种栗贮藏期发芽；同时提示可通过短期发芽诱导使板栗富集GABA，开发功能性板栗食品。</t>
        </is>
      </c>
      <c r="Q77" s="3" t="inlineStr">
        <is>
          <t>中</t>
        </is>
      </c>
      <c r="R77" s="2" t="inlineStr"/>
      <c r="S77" s="2" t="inlineStr">
        <is>
          <t>顽拗性板栗种子富含γ-氨基丁酸（GABA），GABA通过改变碳氮代谢负调控不定根发育，但其在板栗种子中的作用尚不清楚。本研究考察了外源GABA和氨己烯酸（VGB，抑制GABA降解）处理引起的GABA变化对板栗种子萌发的影响。两种处理均显著抑制种子萌发和初生根生长，并导致H2O2大量积累，但内源GABA含量在萌发前48 h下降。可溶性糖水平在萌发前升高、随后下降，淀粉含量相对不变；播种120 h后有机酸发生变化，柠檬酸下降、苹果酸上升。类似地，120 h时可溶性蛋白增加，但48 h时大多数游离氨基酸丰度下降，总氨基酸仅在0 h对VGB响应时增加。因此GABA和VGB改变了碳氮代谢平衡，从而抑制板栗种子萌发。这些结果表明板栗种子中GABA水平的变化可能阻止种子萌发，研究数据也有助于阐明板栗及其他顽拗性种子的休眠与贮藏。</t>
        </is>
      </c>
    </row>
    <row r="78">
      <c r="A78" s="2" t="n">
        <v>77</v>
      </c>
      <c r="B78" s="2" t="inlineStr">
        <is>
          <t>077_2020_Genetic evidence that Chinese chestnut cultivars in Japan are derived from two divergent genetic.md</t>
        </is>
      </c>
      <c r="C78" s="2" t="inlineStr">
        <is>
          <t>2020</t>
        </is>
      </c>
      <c r="D78" s="2" t="inlineStr">
        <is>
          <t>英文</t>
        </is>
      </c>
      <c r="E78" s="2" t="inlineStr">
        <is>
          <t>Genetic evidence that Chinese chestnut cultivars in Japan are derived from two divergent genetic structures that originated in China</t>
        </is>
      </c>
      <c r="F78" s="2" t="inlineStr">
        <is>
          <t>遗传学证据表明日本的板栗品种源自中国两个不同起源的遗传结构</t>
        </is>
      </c>
      <c r="G78" s="2" t="inlineStr">
        <is>
          <t>Sogo Nishio, Shuan Ruan, Yutaka Sawamura, et al.（日本果树茶叶研究所NARO；辽宁省经济林研究所参与）</t>
        </is>
      </c>
      <c r="H78" s="2" t="inlineStr">
        <is>
          <t>PLoS ONE, 2020, 15(7): e0235354</t>
        </is>
      </c>
      <c r="I78" s="2" t="inlineStr">
        <is>
          <t>育种与遗传资源</t>
        </is>
      </c>
      <c r="J78" s="2" t="inlineStr">
        <is>
          <t>品种遗传结构与亲缘关系鉴定（SSR标记）</t>
        </is>
      </c>
      <c r="K78" s="2" t="inlineStr">
        <is>
          <t>中国板栗；SSR标记；遗传结构；同物异名；叶绿体单倍型；种质资源</t>
        </is>
      </c>
      <c r="L78" s="2" t="inlineStr">
        <is>
          <t>230个板栗品种（12组）：日本栗（关东、丹波、日本其他地区、韩国）、日中杂种（18个，含利平栗Riheiguri）、日本选育的中国板栗（27个）、国外引进中国栗，以及源自中国的中国板栗品种（河北13、山东25、江苏10、安徽9、其他地区27），保存于日本NARO基因库及辽宁、山东、河北等单位</t>
        </is>
      </c>
      <c r="M78" s="2" t="inlineStr">
        <is>
          <t>31个核SSR标记+5个叶绿体SSR标记基因分型（3130xl遗传分析仪）；同物异名（相同基因型）鉴定；Structure贝叶斯聚类（ΔK法确定K=2）；MARCO软件亲子关系推断；叶绿体单倍型分析确定母本；PCoA主坐标分析；遗传多样性参数（HO、HE、AR、F）计算；坚果采收期与单果重表型评价（2001–2003年）</t>
        </is>
      </c>
      <c r="N78" s="2" t="inlineStr">
        <is>
          <t>利用31个核SSR和5个叶绿体SSR标记对230个板栗品种进行遗传分析。在中国板栗品种中发现23个同物异名组（基因型完全相同），如燕山早丰与新庄2号、燕山短枝与莱阳短枝等，去除重复后得到200个独立基因型。贝叶斯聚类显示日本栗与中国栗遗传结构清晰分离，大多数品种遗传结构符合其物种归属，而日中杂种多为混合结构，18个杂种中16个可推断与日本起源品种存在亲子关系。中国板栗品种可分为两大遗传群：一为河北起源（HAP4为主），一为江苏、安徽起源（HAP3），山东品种多呈混合结构；日本选育的中国板栗品种（如法寺系、宫川系）分别源自江皖和河北。果实性状上日本栗（平均24.7 g）&gt;日中杂种（20.0 g）&gt;在日中国栗（10.9 g），HAP3品种果重（12.6 g）大于HAP4品种（7.5 g）。该分类对日中板栗育种均有参考价值。</t>
        </is>
      </c>
      <c r="O78" s="2" t="inlineStr">
        <is>
          <t>230个品种、31核SSR+5叶绿体SSR；累计同一性概率6.56×10⁻³⁵；23个同物异名组（燕山早丰=新庄2号；燕山短枝=莱阳短枝=莱州短枝=书河短枝=大红袍；蜂球=炮车2号；合肥处暑红=双季栗等）；6种叶绿体单倍型，日本栗仅HAP1，中国栗主要为HAP3/HAP4；河北起源=HAP4，江皖起源=HAP3；18个日中杂种中16个推断有亲子关系（如Hayashi1=法寺480×笠原早生、山和早生=法寺480×中手丹波）；平均单果重：日本栗24.7 g、日中杂种20.0 g、在日中国栗10.9 g；HAP3品种12.6 g&gt;HAP4品种7.5 g；利平栗为F1杂种、果重23.9 g、2016年占日本板栗栽培面积7%；C_HE观察杂合度最低0.457、C_AN最高0.642，C_SJ近交系数最高0.085，C_JI与C_AN为负值(-0.118/-0.138)</t>
        </is>
      </c>
      <c r="P78" s="2" t="inlineStr">
        <is>
          <t>厘清中国板栗两大遗传起源（河北型果小而甜、江皖型果较大）及常见同物异名品种（如燕山短枝=莱阳短枝等），可为引种选择、杂交亲本选配和SSR指纹品种鉴定提供依据，避免重复引种和同名混淆。</t>
        </is>
      </c>
      <c r="Q78" s="3" t="inlineStr">
        <is>
          <t>中</t>
        </is>
      </c>
      <c r="R78" s="2" t="inlineStr"/>
      <c r="S78" s="2" t="inlineStr">
        <is>
          <t>中国板栗约100年前引入日本，此后农民和育种者选育出许多中国板栗品种和日中杂种品种，但其起源和遗传关系的信息匮乏。本研究利用简单序列重复（SSR）标记对230个品种进行分类，包括日本起源的日本栗品种、日中杂种品种以及源自日本和中国的中国板栗品种。首先在同物异名（相同基因型）检索中发现中国板栗品种有23个同物异名组，去除重复后继续分析；遗传结构分析显示日本栗与中国栗清晰分离，大多数日本和中国品种遗传结构符合各自物种，而日中杂种多为混合结构；结合亲缘关系和叶绿体单倍型分析，本研究18个杂种中16个可推断与日本起源品种存在亲子关系。最后贝叶斯聚类与叶绿体单倍型分析表明116个中国板栗品种可分为两组：一组源自中国河北地区，另一组源自江苏和安徽地区。在日本选育的中国板栗品种呈现河北起源、江皖起源及混合等多种遗传结构。本研究获得的板栗品种遗传分类对日本和中国的板栗育种计划均有用。</t>
        </is>
      </c>
    </row>
    <row r="79">
      <c r="A79" s="2" t="n">
        <v>78</v>
      </c>
      <c r="B79" s="2" t="inlineStr">
        <is>
          <t>078_2020_Longevity of Chinese Chestnut Correlates with Stable Root Microbiomes.md</t>
        </is>
      </c>
      <c r="C79" s="2" t="inlineStr">
        <is>
          <t>2020</t>
        </is>
      </c>
      <c r="D79" s="2" t="inlineStr">
        <is>
          <t>英文</t>
        </is>
      </c>
      <c r="E79" s="2" t="inlineStr">
        <is>
          <t>Longevity of Chinese Chestnut Correlates with Stable Root Microbiomes</t>
        </is>
      </c>
      <c r="F79" s="2" t="inlineStr">
        <is>
          <t>板栗的长寿与稳定的根际微生物组相关</t>
        </is>
      </c>
      <c r="G79" s="2" t="inlineStr">
        <is>
          <t>Xu Cheng, Zhichun Yan, Lucas Schmitz, et al.（荷兰瓦赫宁根大学与研究中心；北京市农林科学院林业果树研究所；北京农学院）</t>
        </is>
      </c>
      <c r="H79" s="2" t="inlineStr">
        <is>
          <t>Research Square预印本（DOI: 10.21203/rs.3.rs-36590/v2，2020-06-30发布）</t>
        </is>
      </c>
      <c r="I79" s="2" t="inlineStr">
        <is>
          <t>栽培与土壤管理</t>
        </is>
      </c>
      <c r="J79" s="2" t="inlineStr">
        <is>
          <t>根际微生物组与树体寿命</t>
        </is>
      </c>
      <c r="K79" s="2" t="inlineStr">
        <is>
          <t>板栗；根际微生物组；树体寿命；根系微生物；预印本撤回</t>
        </is>
      </c>
      <c r="L79" s="2" t="inlineStr">
        <is>
          <t>中国板栗（据作者单位推断研究材料为中国板栗根系及根际土壤；正文缺失无法确认具体品种与地点）</t>
        </is>
      </c>
      <c r="M79" s="2" t="inlineStr">
        <is>
          <t>无（正文缺失，原文摘要与全文已被作者要求从Research Square撤回，无法获取方法信息）</t>
        </is>
      </c>
      <c r="N79" s="2" t="inlineStr">
        <is>
          <t>该文件为Research Square预印本页面，仅含标题、作者及单位信息：研究由荷兰瓦赫宁根大学与研究中心联合北京市农林科学院林业果树研究所、北京农学院开展，标题为《板栗的长寿与稳定的根际微生物组相关》。页面摘要处注明'作者已要求将该预印本从Research Square撤回'（The authors have requested that this preprint be removed from Research Square），因此全文、摘要与数据均无法获取。仅从标题可知该研究探讨板栗树体寿命与根系（根际）微生物组稳定性之间的相关性，提示稳定的根际微生物群落可能有利于板栗长寿，但具体材料、方法、数据和结论均无从核实。与079号文件为同一预印本的不同版本（本文为v2版）。</t>
        </is>
      </c>
      <c r="O79" s="2" t="inlineStr">
        <is>
          <t>无（预印本已撤回，无可用数据；仅知v2版发布日期2020-06-30，DOI: 10.21203/rs.3.rs-36590/v2）</t>
        </is>
      </c>
      <c r="P79" s="2" t="inlineStr">
        <is>
          <t>仅提示一个研究方向：根际微生物组稳定性可能与板栗树体健康和寿命相关，栗园土壤管理或可从维护根系微生物群落稳定的角度考虑，但因正文撤回无法提供具体可操作措施。</t>
        </is>
      </c>
      <c r="Q79" s="5" t="inlineStr">
        <is>
          <t>低</t>
        </is>
      </c>
      <c r="R79" s="2" t="inlineStr">
        <is>
          <t>已撤回的预印本（仅含标题与作者信息），与079号为同一研究的不同版本（预印本/正式发表）</t>
        </is>
      </c>
      <c r="S79" s="2" t="inlineStr">
        <is>
          <t>预印本已被作者要求从Research Square撤回，页面无摘要内容。可获取信息仅有标题《板栗的长寿与稳定的根际微生物组相关》及作者、单位列表。</t>
        </is>
      </c>
    </row>
    <row r="80">
      <c r="A80" s="2" t="n">
        <v>79</v>
      </c>
      <c r="B80" s="2" t="inlineStr">
        <is>
          <t>079_2020_Longevity of Chinese Chestnut Correlates with Stable Root Microbiomes.md</t>
        </is>
      </c>
      <c r="C80" s="2" t="inlineStr">
        <is>
          <t>2020</t>
        </is>
      </c>
      <c r="D80" s="2" t="inlineStr">
        <is>
          <t>英文</t>
        </is>
      </c>
      <c r="E80" s="2" t="inlineStr">
        <is>
          <t>Longevity of Chinese Chestnut Correlates with Stable Root Microbiomes</t>
        </is>
      </c>
      <c r="F80" s="2" t="inlineStr">
        <is>
          <t>板栗的长寿与稳定的根际微生物组相关</t>
        </is>
      </c>
      <c r="G80" s="2" t="inlineStr">
        <is>
          <t>Xu Cheng, Zhichun Yan, Lucas Schmitz, et al.（荷兰瓦赫宁根大学与研究中心；北京市农林科学院林业果树研究所；北京农学院）</t>
        </is>
      </c>
      <c r="H80" s="2" t="inlineStr">
        <is>
          <t>Research Square预印本（DOI: 10.21203/rs.3.rs-36590/v1，2020-06-24发布）</t>
        </is>
      </c>
      <c r="I80" s="2" t="inlineStr">
        <is>
          <t>栽培与土壤管理</t>
        </is>
      </c>
      <c r="J80" s="2" t="inlineStr">
        <is>
          <t>根际微生物组与树体寿命</t>
        </is>
      </c>
      <c r="K80" s="2" t="inlineStr">
        <is>
          <t>板栗；根际微生物组；树体寿命；根系微生物；预印本撤回</t>
        </is>
      </c>
      <c r="L80" s="2" t="inlineStr">
        <is>
          <t>中国板栗（据作者单位推断研究材料为中国板栗根系及根际土壤；正文缺失无法确认具体品种与地点）</t>
        </is>
      </c>
      <c r="M80" s="2" t="inlineStr">
        <is>
          <t>无（正文缺失，原文摘要与全文已被作者要求从Research Square撤回，无法获取方法信息）</t>
        </is>
      </c>
      <c r="N80" s="2" t="inlineStr">
        <is>
          <t>该文件为Research Square预印本页面，仅含标题、作者及单位信息，与078号文件同名同内容，系同一预印本的v1版（2020-06-24发布，DOI 10.21203/rs.3.rs-36590/v1；078为v2版）。页面摘要处注明'作者已要求将该预印本从Research Square撤回'，因此全文、摘要与数据均无法获取。仅从标题可知该研究探讨板栗树体寿命与根系（根际）微生物组稳定性之间的相关性，提示稳定的根际微生物群落可能有利于板栗长寿，但具体材料、方法、数据和结论均无从核实。两个文件确为同一篇预印本的不同版本，079（v1）发布早于078（v2）六天，内容完全相同。</t>
        </is>
      </c>
      <c r="O80" s="2" t="inlineStr">
        <is>
          <t>无（预印本已撤回，无可用数据；仅知v1版发布日期2020-06-24，DOI: 10.21203/rs.3.rs-36590/v1）</t>
        </is>
      </c>
      <c r="P80" s="2" t="inlineStr">
        <is>
          <t>仅提示一个研究方向：根际微生物组稳定性可能与板栗树体健康和寿命相关，栗园土壤管理或可从维护根系微生物群落稳定的角度考虑，但因正文撤回无法提供具体可操作措施。</t>
        </is>
      </c>
      <c r="Q80" s="5" t="inlineStr">
        <is>
          <t>低</t>
        </is>
      </c>
      <c r="R80" s="2" t="inlineStr">
        <is>
          <t>已撤回的预印本（仅含标题与作者信息），与078号为同一研究的不同版本（预印本/正式发表）</t>
        </is>
      </c>
      <c r="S80" s="2" t="inlineStr">
        <is>
          <t>预印本已被作者要求从Research Square撤回，页面无摘要内容。可获取信息仅有标题《板栗的长寿与稳定的根际微生物组相关》及作者、单位列表。</t>
        </is>
      </c>
    </row>
    <row r="81">
      <c r="A81" s="2" t="n">
        <v>80</v>
      </c>
      <c r="B81" s="2" t="inlineStr">
        <is>
          <t>080_2020_Phytochemical Profiles and Cellular Antioxidant Activities in Chestnut (Castanea mollissima BL.).md</t>
        </is>
      </c>
      <c r="C81" s="2" t="inlineStr">
        <is>
          <t>2020</t>
        </is>
      </c>
      <c r="D81" s="2" t="inlineStr">
        <is>
          <t>英文</t>
        </is>
      </c>
      <c r="E81" s="2" t="inlineStr">
        <is>
          <t>Phytochemical Profiles and Cellular Antioxidant Activities in Chestnut (Castanea mollissima BL.) Kernels of Five Different Cultivars</t>
        </is>
      </c>
      <c r="F81" s="2" t="inlineStr">
        <is>
          <t>五个板栗（Castanea mollissima BL.）品种果仁的植物化学成分谱与细胞抗氧化活性</t>
        </is>
      </c>
      <c r="G81" s="2" t="inlineStr">
        <is>
          <t>Xiaoxiao Chang, Fengyuan Liu, Zhixiong Lin, et al.（通讯作者：Yusheng Lu，广东省农业科学院果树研究所；Xinbo Guo，华南理工大学）</t>
        </is>
      </c>
      <c r="H81" s="2" t="inlineStr">
        <is>
          <t>Molecules, 2020, 25(1): 178</t>
        </is>
      </c>
      <c r="I81" s="2" t="inlineStr">
        <is>
          <t>生物活性与功效</t>
        </is>
      </c>
      <c r="J81" s="2" t="inlineStr">
        <is>
          <t>果仁酚类成分与抗氧化活性</t>
        </is>
      </c>
      <c r="K81" s="2" t="inlineStr">
        <is>
          <t>板栗；酚类物质；黄酮；抗氧化活性；品种比较；功能食品</t>
        </is>
      </c>
      <c r="L81" s="2" t="inlineStr">
        <is>
          <t>5个中国板栗品种果仁：蜂球（Mifengqiu, MF）、大红袍（Dahongpao, DH）、处暑红（Chushuhong, CS）、Heguoyihao（HG，音译）、Fyou（FY，音译），种植于广东省农业科学院果树研究所广州落叶果树种质资源圃，成熟期采收，3株重复</t>
        </is>
      </c>
      <c r="M81" s="2" t="inlineStr">
        <is>
          <t>80%冷丙酮超声提取游离态、乙酸乙酯提取结合态植物化学物；Folin-Ciocalteu法测酚类（mg GAE/100 g FW）；硼氢化钠/氯醌（SBC）法测黄酮（mg CE/100 g FW）；HPLC-DAD测定8种酚类单体；ORAC法测总抗氧化活性（µmol TE/g FW）；HepG2细胞CAA法测细胞抗氧化活性（nmol QE/g FW，含PBS洗与不洗处理）；Pearson相关分析</t>
        </is>
      </c>
      <c r="N81" s="2" t="inlineStr">
        <is>
          <t>以广州种质资源圃5个中国板栗品种（蜂球、大红袍、处暑红、Heguoyihao、Fyou）果仁为材料，测定游离态与结合态酚类、黄酮含量及总抗氧化（ORAC）和细胞抗氧化（CAA）活性。五品种总酚42.8–58.6 mg GAE/100 g FW，'Fyou'总酚与游离酚含量最高；总黄酮122–218 mg CE/100 g FW，'Heguoyihao'最高。共检出8种酚类化合物，绿原酸、没食子酸、槲皮素为主要成分，且绿原酸以结合态（约11 mg/100 g）、没食子酸以游离态（约13 mg/100 g）为主。'处暑红'的ORAC（13.62 µmol TE/g FW）与CAA活性均最高，蜂球与大红袍最低。游离态组分贡献68–81%的ORAC，CAA为结合态组分的6–11倍；总酚含量与ORAC、CAA显著正相关（r=0.71）。研究表明以往仅测游离态酚使板栗多酚含量被低估，为功能食品用板栗品种选择提供依据。</t>
        </is>
      </c>
      <c r="O81" s="2" t="inlineStr">
        <is>
          <t>总酚42.8–58.6 mg GAE/100 g FW；'Fyou'最高（总酚58.60±4.20、游离40.25±3.5），蜂球最低（42.77±1.2、游离24.35±0.9）；结合态酚15.4–19.8 mg GAE/100 g，占总酚31–43%，游离态占57–69%；总黄酮122–218 mg CE/100 g，'Heguoyihao'最高（217.6±9.7），游离态占77%；8种酚类中绿原酸以结合态为主（约11 mg/100 g）、没食子酸以游离态为主（约13 mg/100 g）、槲皮素结合态约6.1 mg/100 g；ORAC最高为处暑红13.62±1.4 µmol TE/g FW，其次Heguoyihao 12.61±1.5、Fyou 11.49±1.8，最低大红袍9.23±0.8；游离态贡献68–81% ORAC；游离组分CAA为结合组分6–11倍；总酚与No-PBS wash CAA正相关r=0.71（p&lt;0.01）；总阿魏酸与总酚负相关r=-0.66</t>
        </is>
      </c>
      <c r="P81" s="2" t="inlineStr">
        <is>
          <t>指导功能食品和优质板栗品种选择：处暑红抗氧化活性最高、Fyou酚类含量最高、Heguoyihao黄酮最高；提醒消费者和加工企业板栗多酚与抗氧化价值被低估（结合态占31–43%），营养评价应采用游离+结合态联合测定。</t>
        </is>
      </c>
      <c r="Q81" s="4" t="inlineStr">
        <is>
          <t>高</t>
        </is>
      </c>
      <c r="R81" s="2" t="inlineStr"/>
      <c r="S81" s="2" t="inlineStr">
        <is>
          <t>本研究分析了5个中国板栗（Castanea mollissima BL.）品种的植物化学成分谱、总抗氧化活性与细胞抗氧化活性，测定了5个品种果仁中的多酚、黄酮及植物化学化合物。结果表明，游离态在所有5个品种果仁的总酚、总黄酮及抗氧化活性中占主导地位。品种'Fyou'的总酚和游离酚含量最高，'Heguoyihao'的总黄酮和游离黄酮含量最高，'处暑红'的总抗氧化与细胞抗氧化活性最高。共检出8种酚类化合物，其中绿原酸、没食子酸和槲皮素是5个品种的三大主要成分。这些结果提供了有价值的参考信息，可作为选择优质板栗品种用作功能食品的指导。</t>
        </is>
      </c>
    </row>
    <row r="82">
      <c r="A82" s="2" t="n">
        <v>81</v>
      </c>
      <c r="B82" s="2" t="inlineStr">
        <is>
          <t>081_2020_The in vitro and in vivo wound-healing effects of royal jelly derived from Apis mellifera L. dur.md</t>
        </is>
      </c>
      <c r="C82" s="2" t="inlineStr">
        <is>
          <t>2020</t>
        </is>
      </c>
      <c r="D82" s="2" t="inlineStr">
        <is>
          <t>英文</t>
        </is>
      </c>
      <c r="E82" s="2" t="inlineStr">
        <is>
          <t>The in vitro and in vivo wound-healing effects of royal jelly derived from Apis mellifera L. during blossom seasons of Castanea mollissima Bl. and Brassica napus L. in South China exhibited distinct patterns</t>
        </is>
      </c>
      <c r="F82" s="2" t="inlineStr">
        <is>
          <t>中国南方板栗花期与油菜花期意蜂蜂王浆在体外和体内表现出不同的促伤口愈合效应</t>
        </is>
      </c>
      <c r="G82" s="2" t="inlineStr">
        <is>
          <t>Yan Lin, Meng Zhang, Luying Wang et al.（通讯：Songkun Su）</t>
        </is>
      </c>
      <c r="H82" s="2" t="inlineStr">
        <is>
          <t>BMC Complementary Medicine and Therapies</t>
        </is>
      </c>
      <c r="I82" s="2" t="inlineStr">
        <is>
          <t>生物活性与功效</t>
        </is>
      </c>
      <c r="J82" s="2" t="inlineStr">
        <is>
          <t>蜂王浆促伤口愈合功效</t>
        </is>
      </c>
      <c r="K82" s="2" t="inlineStr">
        <is>
          <t>蜂王浆；伤口愈合；板栗花期；角质形成细胞；抗炎；水溶性提取物</t>
        </is>
      </c>
      <c r="L82" s="2" t="inlineStr">
        <is>
          <t>浙江蜂场采集的板栗(Castanea mollissima)花期蜂王浆(CmRJ-Zj)和油菜(Brassica napus)花期蜂王浆(BnRJ-Zj)；Wistar大鼠全层皮肤缺损创面模型、人表皮角质形成细胞HaCaT、小鼠巨噬细胞RAW264.7</t>
        </is>
      </c>
      <c r="M82" s="2" t="inlineStr">
        <is>
          <t>大鼠全层切除创面模型（10%蜂王浆隔日涂抹，0/2/4/6/8/10/12/14天观察）；水溶性与脂溶性组分提取；MTT细胞增殖/毒性试验；HaCaT细胞划痕实验；Griess试剂法测NO；ELISA检测TNF-α和TGF-β1；LPS诱导巨噬细胞炎症模型</t>
        </is>
      </c>
      <c r="N82" s="2" t="inlineStr">
        <is>
          <t>这是首个比较不同蜜源植物花期蜂王浆促伤口愈合作用的研究。结果显示不同花期蜂王浆促愈合活性差异显著，板栗花期蜂王浆活性更强：其使大鼠创面第2-4天愈合速度达0.25 cm²/天（显著高于对照p&lt;0.05）；机制上，板栗蜂王浆通过促进角质形成细胞增殖（提高50.9%，p&lt;0.001）和迁移（14.9%，p&lt;0.001）、抑制LPS诱导巨噬细胞NO产生（46.2%，p&lt;0.001）、促进TGF-β1分泌（44.7%，p&lt;0.001）加速创面修复；而油菜蜂王浆主要通过降低TNF-α产生（21.3%，p&lt;0.001）调节炎症，无明显促增殖迁移作用。板栗蜂王浆水溶性提取物最具应用潜力，两类蜂王浆水溶性组分抗炎效果均强于脂溶性组分，提示活性物质更可能是水溶性成分。该研究为蜂王浆在难愈性创面护理中的合理应用提供依据。</t>
        </is>
      </c>
      <c r="O82" s="2" t="inlineStr">
        <is>
          <t>板栗蜂王浆处理创面第2-4天愈合速度0.25 cm²/天(p&lt;0.05)；角质形成细胞增殖提高50.9%(p&lt;0.001)；迁移提高14.9%(p&lt;0.001)；NO产生抑制46.2%(p&lt;0.001)；TGF-β1分泌提高44.7%(p&lt;0.001)；油菜蜂王浆TNF-α降低21.3%(p&lt;0.001)；板栗蜂王浆水提物7.81 μg/ml时HaCaT划痕愈合率最高(40%)；蜂王浆提取物对RAW264.7在&lt;4000 μg/ml无细胞毒性、500-4000 μg/ml还显著促进巨噬细胞生长；10%蜂王浆隔日涂抹200 μl；EGF阳性对照在本实验条件下未显示促愈合效果</t>
        </is>
      </c>
      <c r="P82" s="2" t="inlineStr">
        <is>
          <t>证明板栗花期蜂王浆具有独特促伤口愈合价值，其水溶性组分最优，可为板栗产区养蜂采浆、开发伤口护理类蜂产品提供科学依据，提升板栗蜜源附加值。</t>
        </is>
      </c>
      <c r="Q82" s="4" t="inlineStr">
        <is>
          <t>高</t>
        </is>
      </c>
      <c r="R82" s="2" t="inlineStr"/>
      <c r="S82" s="2" t="inlineStr">
        <is>
          <t>不同蜜源植物影响蜂王浆的组成和生物活性。本研究比较了中国南方板栗花期与油菜花期蜂王浆的促伤口愈合作用：体内大鼠全层创面模型初筛后，采用人角质形成细胞和LPS诱导巨噬细胞炎症模型研究机制。结果表明板栗花期蜂王浆促愈合作用更强，可使第2-4天创面愈合速度达0.25 cm²/天(p&lt;0.05)，通过提高角质形成细胞增殖50.9%和迁移14.9%、抑制NO产生46.2%、促进TGF-β1分泌44.7%加速创面修复；油菜蜂王浆主要通过降低TNF-α(21.3%)调节炎症。板栗蜂王浆水溶性提取物在难愈性创面护理中潜力最大。</t>
        </is>
      </c>
    </row>
    <row r="83">
      <c r="A83" s="2" t="n">
        <v>82</v>
      </c>
      <c r="B83" s="2" t="inlineStr">
        <is>
          <t>082_2020_Transcriptome Sequencing and Differential Expression Analysis Reveal Molecular Mechanisms for Se.md</t>
        </is>
      </c>
      <c r="C83" s="2" t="inlineStr">
        <is>
          <t>2020</t>
        </is>
      </c>
      <c r="D83" s="2" t="inlineStr">
        <is>
          <t>英文</t>
        </is>
      </c>
      <c r="E83" s="2" t="inlineStr">
        <is>
          <t>Transcriptome Sequencing and Differential Expression Analysis Reveal Molecular Mechanisms for Seed Starch Accumulation in Chinese Chestnut Metaxenia</t>
        </is>
      </c>
      <c r="F83" s="2" t="inlineStr">
        <is>
          <t>转录组测序与差异表达分析揭示板栗花粉直感效应下种子淀粉积累的分子机制</t>
        </is>
      </c>
      <c r="G83" s="2" t="inlineStr">
        <is>
          <t>Shengxing Li, Zhuogong Shi, Zhiheng Zhao et al.</t>
        </is>
      </c>
      <c r="H83" s="2" t="inlineStr">
        <is>
          <t>Research Square预印本（后发表于BMC Genomics 2021, doi:10.1186/s12864-021-07923-5）</t>
        </is>
      </c>
      <c r="I83" s="2" t="inlineStr">
        <is>
          <t>生理与分子机制</t>
        </is>
      </c>
      <c r="J83" s="2" t="inlineStr">
        <is>
          <t>种子淀粉积累与花粉直感(metaxenia)分子机制</t>
        </is>
      </c>
      <c r="K83" s="2" t="inlineStr">
        <is>
          <t>板栗；花粉直感；淀粉积累；转录组；授粉组合；种子发育</t>
        </is>
      </c>
      <c r="L83" s="2" t="inlineStr">
        <is>
          <t>云南永仁县永仁板栗基地（海拔1530-1700 m）：母本'永丰1号'分别自花授粉(YFF)及授以'永仁早'(YFR)、'易门1号'(YFM)花粉，取授粉后70(S1)、82(S2)、94(S3)天的种仁</t>
        </is>
      </c>
      <c r="M83" s="2" t="inlineStr">
        <is>
          <t>27个cDNA文库转录组测序(HiSeq 2000，超11.4亿高质量reads)；主成分分析；差异表达基因DEG鉴定；GO/KEGG富集分析；STEM聚类；WGCNA加权基因共表达网络分析；蒽酮法测可溶性糖、直接滴定法测还原糖、微量法测直链/支链淀粉；ELISA测蔗糖合酶(SS)和淀粉合酶(SSS)活性；qRT-PCR验证</t>
        </is>
      </c>
      <c r="N83" s="2" t="inlineStr">
        <is>
          <t>板栗种子存在明显的花粉直感效应：不同授粉组合显著影响种子大小、色泽、糖含量、淀粉含量及SS/SSS酶活性，异花授粉(YFR、YFM)种子大于自花授粉(YFF)，异花授粉淀粉含量高于自花授粉。淀粉积累高峰在授粉后94天(S3)，颗粒结合淀粉合酶(EC 2.4.1.242)和ADP-葡萄糖焦磷酸化酶(EC 2.7.7.27)基因此期高表达，ADP-葡萄糖是淀粉合成的直接前体。种子通过调控糖基转移酶和水解活性控制可溶性糖、还原糖与淀粉积累；糖酵解受抑而糖异生增强，使G-1-P和G-6-P碳流流向淀粉合成途径。S3期枢纽基因(HSF_DNA-binding、ACT、Pkinase、LIM等)表达量以YFF最高、YFR次之、YFM最低，差异主要源于花粉直感效应。WGCNA鉴定出S1期相关翻译/增殖模块、S2期转运模块(ABC转运蛋白、硫酸盐转运蛋白)和S3期模块。转录组共鉴定21423个基因位点、9999个新基因，为板栗功能基因组研究提供资源。</t>
        </is>
      </c>
      <c r="O83" s="2" t="inlineStr">
        <is>
          <t>3个授粉组合YFF(自花)/YFR('永仁早')/YFM('易门1号')；S1=70 DAP、S2=82 DAP、S3=94 DAP；21,423个基因位点、9,999个新基因；S3期特异表达基因YFF 5,862、YFR 8,873、YFM 7,711个；'永丰1号'平均单粒重约16 g、'永仁早'12 g（7月下旬成熟）、'易门1号'14.51 g（8月中旬成熟）；ADPase(EC 2.7.7.27)与GBSS(EC 2.4.1.242)在94 DAP高表达；WGCNA划分22个模块（紫/粉/蓝模块分别对应S1/S2/S3）；qRT-PCR验证7个基因表达趋势与转录组一致；异花授粉种子淀粉含量高于自花授粉，种子颜色越深淀粉含量越高</t>
        </is>
      </c>
      <c r="P83" s="2" t="inlineStr">
        <is>
          <t>证实板栗花粉直感显著影响坚果大小与淀粉/糖品质，指导栗园科学配置授粉树（异花授粉优于自花授粉），并为新品种选育和板栗园科学规划提供分子依据。</t>
        </is>
      </c>
      <c r="Q83" s="3" t="inlineStr">
        <is>
          <t>中</t>
        </is>
      </c>
      <c r="R83" s="2" t="inlineStr">
        <is>
          <t>与070号为同一研究的不同版本（预印本/正式发表）</t>
        </is>
      </c>
      <c r="S83" s="2" t="inlineStr">
        <is>
          <t>板栗坚果富含淀粉和蛋白质，其特性和营养含量存在明显的花粉直感效应。本研究以'永丰1号'为母本，分别用'永丰1号'（自交）、'永仁早'、'易门1号'授粉，研究授粉后70、82、94天三个淀粉积累阶段种仁的淀粉与蔗糖代谢机制。结果表明多数碳水化合物代谢基因在自交YFF的S2期和YFR、YFM的S3期高表达；淀粉粒结合淀粉合酶(EC 2.4.1.242)和ADP-葡萄糖焦磷酸化酶(EC 2.7.7.27)基因在94 DAP活跃表达；板栗种子通过控制糖基转移酶和水解活性调控可溶性糖、还原糖和淀粉的积累。这些结果对板栗淀粉与蔗糖代谢及花粉直感相关代谢的深入研究具有重要指导意义。</t>
        </is>
      </c>
    </row>
    <row r="84">
      <c r="A84" s="2" t="n">
        <v>83</v>
      </c>
      <c r="B84" s="2" t="inlineStr">
        <is>
          <t>083_2020_板栗球脱苞机.md</t>
        </is>
      </c>
      <c r="C84" s="2" t="inlineStr">
        <is>
          <t>2020</t>
        </is>
      </c>
      <c r="D84" s="2" t="inlineStr">
        <is>
          <t>中文</t>
        </is>
      </c>
      <c r="E84" s="2" t="inlineStr">
        <is>
          <t>板栗球脱苞机</t>
        </is>
      </c>
      <c r="F84" s="2" t="inlineStr">
        <is>
          <t>板栗球脱苞机</t>
        </is>
      </c>
      <c r="G84" s="2" t="inlineStr">
        <is>
          <t>赵亮亮（天津理工大学中环信息学院）、王丽（北京科技大学）</t>
        </is>
      </c>
      <c r="H84" s="2" t="inlineStr">
        <is>
          <t>国际教育论坛(Journal of International Education Forum) 2020年第2卷第4期</t>
        </is>
      </c>
      <c r="I84" s="2" t="inlineStr">
        <is>
          <t>加工与贮藏</t>
        </is>
      </c>
      <c r="J84" s="2" t="inlineStr">
        <is>
          <t>板栗脱苞（剥苞）机械设计</t>
        </is>
      </c>
      <c r="K84" s="2" t="inlineStr">
        <is>
          <t>板栗球脱苞机；刮板；弧形栅笼；振动筛；鼓风机；机械化加工</t>
        </is>
      </c>
      <c r="L84" s="2" t="inlineStr">
        <is>
          <t>带苞壳板栗球（板栗采后苞壳脱除加工对象）</t>
        </is>
      </c>
      <c r="M84" s="2" t="inlineStr">
        <is>
          <t>刮板式机械脱苞总体结构设计（进料机构+脱苞机构+筛选机构+机架）；撞击与挤压联合脱苞原理；弧形栅笼'小个通过、大个不过'分离；振动筛分级；鼓风气流按重量差分离壳仁；关键部件材料与热处理工艺设计</t>
        </is>
      </c>
      <c r="N84" s="2" t="inlineStr">
        <is>
          <t>针对传统人工剥苞费时费力、效率低的问题（国内板栗球剥机需求量在50万台以上），设计了一种刮板式板栗球脱苞机。工作流程：板栗球经进料口薄层推入脱苞箱，与高速旋转刮板固定架碰撞，在刮板锤击和挤压下第一次破裂脱苞；未裂栗球落至弧形栅笼上，因栅格顶部与刮板旋转外径间距不足以容纳整栗而被二次锤击挤压破碎；脱苞板栗与碎壳穿过栅格间隙落至振动筛，筛出大块碎壳；再经鼓风气流通道，轻质小碎壳被吹入收集区、重质板栗落入出栗滑槽收集。关键设计：刮板用PU聚氨酯橡胶（耐磨、耐天候、挤压不伤栗仁），固定板为4块20 mm厚45号钢板(485×236 mm)表面渗碳1-1.5 mm、硬度HRC56-62；栅条为20号钢15圆截面长条、长494 mm、间距40 mm，弧形栅笼内径310 mm、两端焊套环便于更换；箱体剖分式45钢板钣金成型。该机可大幅节省劳动量、提高生产效率与质量。</t>
        </is>
      </c>
      <c r="O84" s="2" t="inlineStr">
        <is>
          <t>国内板栗球剥机需求量50万台以上；坚果机械脱苞原理有撞击法、碾搓法、剪切法、挤压法、搓撕法5种，新型有压力膨胀法、真空法、激光法；刮板材料PU聚氨酯橡胶；刮板固定板45号钢、4块20 mm厚钢板(长485 mm×宽236 mm)、开宽10 mm深53 mm通槽夹持刮板、表面渗碳1-1.5 mm、硬度HRC56-62；栅条20号钢15圆截面、长494 mm、间距40 mm；弧形栅笼内径310 mm、两端焊接套环；箱体为剖分式（箱座+箱盖普通螺栓联接）45钢板钣金件；电机装于机架内经皮带驱动大传动轮，震动筛由小传动轮驱动曲轴往复运动</t>
        </is>
      </c>
      <c r="P84" s="2" t="inlineStr">
        <is>
          <t>为板栗采收后脱苞工序提供机械化方案，解决人工剥苞费时费力、效率低的问题，适合板栗产地加工户和合作社选型参考，推动板栗采后处理机械化。</t>
        </is>
      </c>
      <c r="Q84" s="3" t="inlineStr">
        <is>
          <t>中</t>
        </is>
      </c>
      <c r="R84" s="2" t="inlineStr"/>
      <c r="S84" s="2" t="inlineStr">
        <is>
          <t>板栗球脱苞机代替了板栗加工中最辛苦繁琐的人工剥毛刺工序。经调查国内板栗球剥机需求量在50万台以上。该机在机架上部安装脱苞箱，箱顶设进料口、底部设出料口，箱内穿装转动轴并安装刮板，刮板与出料口之间安装弧形栅笼，转动轴端部依次安装小传动轮及大传动轮，由电机皮带驱动；出料口下部机架上安装震动筛，通过小传动轮将动力传至曲轴实现往复运动；出栗滑槽装于震动筛送料口下部，鼓风机装于送料口与滑槽之间并由大传动轮皮带驱动。板栗球借助刮板与栅笼的挤压打击作用破碎苞壳，再经振动筛和气流实现壳仁分离，具有结构简单、操作方便的特点。</t>
        </is>
      </c>
    </row>
    <row r="85">
      <c r="A85" s="2" t="n">
        <v>84</v>
      </c>
      <c r="B85" s="2" t="inlineStr">
        <is>
          <t>084_2019_Agrobacterium-mediated genetic transformation of Chinese chestnut (Castanea mollissima Blume).md</t>
        </is>
      </c>
      <c r="C85" s="2" t="inlineStr">
        <is>
          <t>2019</t>
        </is>
      </c>
      <c r="D85" s="2" t="inlineStr">
        <is>
          <t>英文</t>
        </is>
      </c>
      <c r="E85" s="2" t="inlineStr">
        <is>
          <t>Agrobacterium-mediated genetic transformation of Chinese chestnut (Castanea mollissima Blume)</t>
        </is>
      </c>
      <c r="F85" s="2" t="inlineStr">
        <is>
          <t>板栗（Castanea mollissima Blume）农杆菌介导遗传转化体系的建立</t>
        </is>
      </c>
      <c r="G85" s="2" t="inlineStr">
        <is>
          <t>Zhi-lin Sun, Xiao Li, Wan Zhou et al.（通讯：Ling Qin, Qing-qin Cao，北京农学院）</t>
        </is>
      </c>
      <c r="H85" s="2" t="inlineStr">
        <is>
          <t>Plant Cell, Tissue and Organ Culture (PCTOC)</t>
        </is>
      </c>
      <c r="I85" s="2" t="inlineStr">
        <is>
          <t>育种与遗传资源</t>
        </is>
      </c>
      <c r="J85" s="2" t="inlineStr">
        <is>
          <t>农杆菌介导遗传转化体系建立</t>
        </is>
      </c>
      <c r="K85" s="2" t="inlineStr">
        <is>
          <t>板栗；农杆菌介导转化；胚性愈伤组织；体细胞胚再生；EGFP；卡那霉素筛选</t>
        </is>
      </c>
      <c r="L85" s="2" t="inlineStr">
        <is>
          <t>板栗品种'燕山红栗'('Yanshanhongli')未成熟胚尖诱导的胚性愈伤组织；根癌农杆菌菌株AGL1和GV3101（携带pBI121-EGFP质粒，含nptII筛选标记和CaMV 35S启动的EGFP报告基因）</t>
        </is>
      </c>
      <c r="M85" s="2" t="inlineStr">
        <is>
          <t>农杆菌介导转化（OD600 0.8-1.2菌液侵染1 h）；卡那霉素浓度梯度敏感性试验(0-210 mg/L)；抑菌抗生素组合筛选（头孢噻肟50/100/200 mg/L × timentin 400/500/600/700 μM）；共培养2天与3天对比；EGFP荧光立体显微镜检测；CTAB法提取DNA进行PCR及RT-PCR分子鉴定；经E1→E2→E3→E4体细胞胚再生</t>
        </is>
      </c>
      <c r="N85" s="2" t="inlineStr">
        <is>
          <t>首次建立了板栗稳定的农杆菌介导遗传转化方法。关键参数：180 mg/L卡那霉素可完全抑制非转化胚性愈伤组织的增殖（板栗对卡那霉素敏感性低，推测与欧洲栗类似的内源性非特异性卡那霉素磷酸转移酶活性有关）；50 mg/L头孢噻肟+500 μM timentin能完全抑制农杆菌生长且不影响胚性愈伤正常生长；AGL1菌株侵染效率优于GV3101；共培养2天显著优于3天。共培养2天的AGL1处理获得4.55%的胚性愈伤转化效率（显著高于其他处理p&lt;0.05），从641个愈伤块中筛得65个抗性愈伤，最终获得2个嵌合转基因芽，PCR证实EGFP和nptII已整合入基因组并表达。该体系为板栗核心种质的遗传改良（促进早花、提高抗病性、培育矮化品种）和基因功能验证提供了基础平台，也可为尚未建立转化体系的锥栗、日本栗、茅栗等栗属植物提供参考。</t>
        </is>
      </c>
      <c r="O85" s="2" t="inlineStr">
        <is>
          <t>卡那霉素180 mg/L完全抑制板栗胚性愈伤增殖（欧洲栗筛选浓度为150 mg/L、美洲山核桃100 mg/L、葡萄70 mg/L）；头孢噻肟50 mg/L+timentin 500 μM为最优抑菌组合；AGL1共培养2天转化效率4.55%、GV3101为1.94%；641个愈伤块筛选出65个卡那霉素抗性愈伤；获得2个GFP阳性嵌合转基因芽；EGFP(740 bp)/nptII(761 bp) PCR阳性；欧洲栗球形胚转化效率30%高于子叶形胚6.7%；欧洲栗EHA105菌株效率25%高于C58C1的1.9%；抗性愈伤2天共培养再生率显著高于3天</t>
        </is>
      </c>
      <c r="P85" s="2" t="inlineStr">
        <is>
          <t>板栗遗传转化平台可加速分子育种：缩短漫长童期（促早花）、导入抗病基因（抗疫病/墨水病）、利用ipt/rol基因培育矮化品种（解决树高3米以上修剪采收难），为品种改良开辟新途径。</t>
        </is>
      </c>
      <c r="Q85" s="5" t="inlineStr">
        <is>
          <t>低</t>
        </is>
      </c>
      <c r="R85" s="2" t="inlineStr"/>
      <c r="S85" s="2" t="inlineStr">
        <is>
          <t>板栗是世界栗属育种的重要种质资源，具有重要生态和经济价值，但其遗传转化体系此前尚未建立。本研究以'燕山红栗'胚性愈伤组织为材料，建立了稳定高效的农杆菌介导遗传转化方法：180 mg/L卡那霉素完全抑制非转化愈伤增殖；50 mg/L头孢噻肟与500 μM timentin完全抑制根癌农杆菌生长而不影响愈伤正常生长；携带PBI121-EGFP质粒的AGL1菌株与胚性愈伤共培养2天，获得4.55%的转化效率，并获得2个嵌合转基因芽。该转化体系为板栗核心种质遗传改良和基因功能验证提供了基础平台。</t>
        </is>
      </c>
    </row>
    <row r="86">
      <c r="A86" s="2" t="n">
        <v>85</v>
      </c>
      <c r="B86" s="2" t="inlineStr">
        <is>
          <t>085_2019_Effect of Steaming Processing on Phenolic Profiles and Cellular Antioxidant Activities of Castan.md</t>
        </is>
      </c>
      <c r="C86" s="2" t="inlineStr">
        <is>
          <t>2019</t>
        </is>
      </c>
      <c r="D86" s="2" t="inlineStr">
        <is>
          <t>英文</t>
        </is>
      </c>
      <c r="E86" s="2" t="inlineStr">
        <is>
          <t>Effect of Steaming Processing on Phenolic Profiles and Cellular Antioxidant Activities of Castanea mollissima</t>
        </is>
      </c>
      <c r="F86" s="2" t="inlineStr">
        <is>
          <t>蒸制加工对板栗酚类物质谱及细胞抗氧化活性的影响</t>
        </is>
      </c>
      <c r="G86" s="2" t="inlineStr">
        <is>
          <t>Fangyuan Zhang, Fengyuan Liu, Arshad Mehmood Abbasi et al.（通讯：Xiaoxiao Chang, Xinbo Guo）</t>
        </is>
      </c>
      <c r="H86" s="2" t="inlineStr">
        <is>
          <t>Molecules</t>
        </is>
      </c>
      <c r="I86" s="2" t="inlineStr">
        <is>
          <t>加工与贮藏</t>
        </is>
      </c>
      <c r="J86" s="2" t="inlineStr">
        <is>
          <t>蒸制加工对酚类与抗氧化活性的影响</t>
        </is>
      </c>
      <c r="K86" s="2" t="inlineStr">
        <is>
          <t>板栗；蒸制；酚类物质；抗氧化活性；细胞可及性；绿原酸</t>
        </is>
      </c>
      <c r="L86" s="2" t="inlineStr">
        <is>
          <t>广东省农业科学院果树研究所采集的板栗果实（手工去壳去内衣）</t>
        </is>
      </c>
      <c r="M86" s="2" t="inlineStr">
        <is>
          <t>7种蒸制处理（生样对照、100°C蒸10/20/30/40 min、115°C和121°C蒸20 min）；80%丙酮提取游离态酚、NaOH碱解释放结合态酚；Folin-Ciocalteu法测总酚、SBC法测总黄酮；RP-HPLC定性定量酚类单体；ORAC法测总抗氧化活性；HepG2细胞CAA法（PBS洗涤/不洗涤）测细胞抗氧化活性与细胞摄取率；Pearson相关分析</t>
        </is>
      </c>
      <c r="N86" s="2" t="inlineStr">
        <is>
          <t>蒸制时间和温度对板栗酚类物质和抗氧化活性影响各异：结合态酚类较稳定，但长时间、较高温蒸制趋向于提高酚类、黄酮含量及抗氧化活性，最高可达原始值的60.11%增幅。共鉴定7种酚类化合物（阿魏酸、绿原酸、没食子酸、香草酸、丁香酸酯、对香豆酸、槲皮素）在热加工中发生变化，其中绿原酸是游离组分的主导酚类。总酚与总抗氧化活性显著相关(p&lt;0.05)；但仅绿原酸与细胞抗氧化活性(CAA)一致相关(p&lt;0.01)，表明板栗植物化学素生物可及性较差，而蒸制可部分改善——蒸制使游离植物化学素的细胞可及性提高41.96%。游离态酚约占总酚90%、结合态不足13%，是抗氧化活性的主要贡献者。机制上，蒸制灭活氧化酶(PPO/POD)、破坏食品基质释放结合酚，并可能通过单宁/木质素水解等生成新酚类。该研究为板栗加工业优化蒸制工艺、保留和提升营养功效提供指导。</t>
        </is>
      </c>
      <c r="O86" s="2" t="inlineStr">
        <is>
          <t>鲜栗总酚38.43 mg GAE/100g FW，蒸后最高62.52 mg GAE/100g（1.63倍）；游离酚100°C 30min达53.05 mg GAE/100g（1.54倍）；结合酚最高8.62 mg GAE/100g（121°C 20min，3.14倍）；总黄酮鲜样53.16 mg CE/100g，蒸后最高71.51 mg CE/100g（1.35倍），结合态增幅2.13倍；ORAC鲜样游离8.32+结合6.36 μmol TE/g，蒸后游离最高13.36 μmol TE/g（1.61倍，121°C 20min）；绿原酸为游离组分主导酚（鲜样18.28→22.42 mg/100g，100°C 40min）；没食子酸游离最高12.93 mg/100g（100°C 20min）；游离酚约占总酚90%、结合酚&lt;13%；CAA最高2.27 nmol QE/g FW（100°C 40min）；细胞摄取率鲜样14.3%→100°C 30min达26.3%；蒸制使游离植物化学素生物可及性提高41.96%；总酚与ORAC相关0.59*，绿原酸与CAA相关0.70**；100-115°C蒸20min是黄酮变化的临界点</t>
        </is>
      </c>
      <c r="P86" s="2" t="inlineStr">
        <is>
          <t>指导板栗加工企业和消费者选择合理蒸制工艺：100°C蒸40 min或121°C蒸20 min可最大化保留并提升酚类与抗氧化活性，蒸制优于煮制和微波，可提升产品营养附加值。</t>
        </is>
      </c>
      <c r="Q86" s="4" t="inlineStr">
        <is>
          <t>高</t>
        </is>
      </c>
      <c r="R86" s="2" t="inlineStr"/>
      <c r="S86" s="2" t="inlineStr">
        <is>
          <t>研究蒸制加工对板栗酚类物质谱和抗氧化活性的影响。不同蒸制时间与温度对游离和结合态组分影响各异：结合态酚类较稳定，但长时间高温蒸制趋于提高板栗果仁中酚类、黄酮含量及抗氧化活性，最高较原始值提高60.11%。热加工中7种酚类化合物（阿魏酸、绿原酸、没食子酸、香草酸、丁香酸酯、对香豆酸、槲皮素）发生变化；总酚与总抗氧化活性显著相关(p&lt;0.05)，仅绿原酸(p&lt;0.01)与细胞抗氧化活性一致相关，表明板栗植物化学素生物可及性差，但蒸制可部分改善，使游离植物化学素生物可及性提高41.96%。该研究为板栗加工业提供了蒸制过程中酚类谱与抗氧化活性动态变化的重要信息。</t>
        </is>
      </c>
    </row>
    <row r="87">
      <c r="A87" s="2" t="n">
        <v>86</v>
      </c>
      <c r="B87" s="2" t="inlineStr">
        <is>
          <t>086_2019_Effects of the &amp;lt;i&amp;gt;Castanea mollissima Blume&amp;lt;_i&amp;gt; Shell Cultivation Substrate on the Y.md</t>
        </is>
      </c>
      <c r="C87" s="2" t="inlineStr">
        <is>
          <t>2019</t>
        </is>
      </c>
      <c r="D87" s="2" t="inlineStr">
        <is>
          <t>英文</t>
        </is>
      </c>
      <c r="E87" s="2" t="inlineStr">
        <is>
          <t>Effects of the Castanea mollissima Blume Shell Cultivation Substrate on the Yield and Nutritional Composition of Pleurotus geesteranus</t>
        </is>
      </c>
      <c r="F87" s="2" t="inlineStr">
        <is>
          <t>板栗壳栽培基质对秀珍菇产量与营养成分的影响</t>
        </is>
      </c>
      <c r="G87" s="2" t="inlineStr">
        <is>
          <t>Jinping Zhang, Xuebin Li, Yue Ying, Xiaohua Yao</t>
        </is>
      </c>
      <c r="H87" s="2" t="inlineStr">
        <is>
          <t>Food and Nutrition Sciences, 2019, 10, 1112-1121</t>
        </is>
      </c>
      <c r="I87" s="2" t="inlineStr">
        <is>
          <t>林产利用与其他</t>
        </is>
      </c>
      <c r="J87" s="2" t="inlineStr">
        <is>
          <t>板栗壳栽培基质利用（食用菌）</t>
        </is>
      </c>
      <c r="K87" s="2" t="inlineStr">
        <is>
          <t>板栗壳；秀珍菇；栽培基质；产量；营养成分；重金属</t>
        </is>
      </c>
      <c r="L87" s="2" t="inlineStr">
        <is>
          <t>板栗壳（采自浙江杭州新登镇，干燥粉碎）；秀珍菇（Pleurotus geesteranus）栽培种；4种基质配方（棉籽壳中板栗壳比例0%、10%、30%、50%）</t>
        </is>
      </c>
      <c r="M87" s="2" t="inlineStr">
        <is>
          <t>不同配比基质栽培对比试验；菌丝生长速率测定（每5天）；产量与生物效率测定；蛋白质、脂肪、粗纤维、氨基酸按GB国标法测定；重金属（Hg、As、Cd、Pb）按GB 5009.268-2016测定</t>
        </is>
      </c>
      <c r="N87" s="2" t="inlineStr">
        <is>
          <t>以板栗壳部分替代棉籽壳栽培秀珍菇，可提高菌丝生长速率、产量、生物效率及蛋白质、粗纤维、氨基酸和必需氨基酸含量。10%壳配方菌丝生长最快（0.49 cm/d），30%壳配方产量最高（237.86 g/袋，生物效率61.78%）；壳中单宁（5.58%）、皂苷（3.44%）及基质C/N比显著影响菌丝生长，适宜C/N约27。随壳比例增加，菇体蛋白质与氨基酸含量升高、粗脂肪降低，但重金属Hg、As、Cd、Pb含量随之上升，壳用量达50%时镉（0.520 mg/kg）超过国家标准限量。综合产量、品质与食用安全，板栗壳用量以不超过30%为宜，为板栗壳资源化利用提供了可行途径。</t>
        </is>
      </c>
      <c r="O87" s="2" t="inlineStr">
        <is>
          <t>板栗壳含纤维素27.34%、半纤维素33.23%、木质素21.40%、单宁5.58%、皂苷3.44%，C/N 61.11；菌丝生长速率：10%壳配方0.49 cm/d（比对照高0.15 cm/d）；产量与生物效率：30%壳配方237.86 g/袋、61.78%，对照180.70 g/袋、46.94%；50%壳配方蛋白质28.3 g/100g（比对照高4.5 g/100g）；30%壳配方粗纤维10.63%（比对照高8.43%）；氨基酸总量：50%壳20.7% vs 对照13.35%，必需氨基酸/总氨基酸37.78%-38.54% vs 对照31.59%；壳用量50%时菇体Cd达0.520 mg/kg，超过国标0.5 mg/kg限量；推荐壳用量不超过30%</t>
        </is>
      </c>
      <c r="P87" s="2" t="inlineStr">
        <is>
          <t>板栗壳可替代不超过30%的棉籽壳栽培秀珍菇，显著增产并提高蛋白质和氨基酸含量，为板栗加工副产物高值化利用、降低菇农基质成本提供了实用配方和安全用量上限。</t>
        </is>
      </c>
      <c r="Q87" s="4" t="inlineStr">
        <is>
          <t>高</t>
        </is>
      </c>
      <c r="R87" s="2" t="inlineStr"/>
      <c r="S87" s="2" t="inlineStr">
        <is>
          <t>以棉籽壳混合不同比例板栗壳制备基质栽培秀珍菇，研究壳含量对菌丝生长速率、产量、营养成分及重金属含量的影响。结果表明，板栗壳可提高菌丝生长速率、产量、生物效率及蛋白质、粗纤维、氨基酸和必需氨基酸含量；壳中单宁、皂苷和基质C/N比显著影响菌丝生长。随壳含量增加，菇体粗脂肪降低而汞、砷、镉、铅含量升高。据此优化确定秀珍菇栽培基质中板栗壳含量应低于30%。</t>
        </is>
      </c>
    </row>
    <row r="88">
      <c r="A88" s="2" t="n">
        <v>87</v>
      </c>
      <c r="B88" s="2" t="inlineStr">
        <is>
          <t>087_2019_Hybrid de novo genome assembly of Chinese chestnut ( Castanea mollissima ).md</t>
        </is>
      </c>
      <c r="C88" s="2" t="inlineStr">
        <is>
          <t>2019</t>
        </is>
      </c>
      <c r="D88" s="2" t="inlineStr">
        <is>
          <t>英文</t>
        </is>
      </c>
      <c r="E88" s="2" t="inlineStr">
        <is>
          <t>Hybrid de novo genome assembly of Chinese chestnut (Castanea mollissima)</t>
        </is>
      </c>
      <c r="F88" s="2" t="inlineStr">
        <is>
          <t>中国板栗（Castanea mollissima）混合从头基因组组装</t>
        </is>
      </c>
      <c r="G88" s="2" t="inlineStr">
        <is>
          <t>Yu Xing, Yang Liu, Qing Zhang, et al.</t>
        </is>
      </c>
      <c r="H88" s="2" t="inlineStr">
        <is>
          <t>GigaScience, 2019, 8, giz112</t>
        </is>
      </c>
      <c r="I88" s="2" t="inlineStr">
        <is>
          <t>基因组与基因家族</t>
        </is>
      </c>
      <c r="J88" s="2" t="inlineStr">
        <is>
          <t>基因组测序与组装</t>
        </is>
      </c>
      <c r="K88" s="2" t="inlineStr">
        <is>
          <t>板栗；基因组组装；基因注释；物种进化；串联重复基因</t>
        </is>
      </c>
      <c r="L88" s="2" t="inlineStr">
        <is>
          <t>湖北宜昌樟村坪国家森林公园（海拔1261 m）野生健康板栗成年树（约12 m高）新鲜叶片；另比较水稻、苹果、杨树、桃、夏栎、欧洲水青冈、核桃、葡萄等9个物种基因组</t>
        </is>
      </c>
      <c r="M88" s="2" t="inlineStr">
        <is>
          <t>PacBio单分子测序（约69 Gb，87×）结合Illumina测序（约34 Gb，42.7×）混合组装（SMARTdenovo+Quiver校正）；k-mer估算基因组大小与杂合度；BUSCO评估完整性；de novo+同源+转录组三种方法注释基因；CAFE基因家族扩张收缩分析；RAxML系统发育；LTR插入时间与TAG串联重复基因分析</t>
        </is>
      </c>
      <c r="N88" s="2" t="inlineStr">
        <is>
          <t>利用PacBio单分子测序结合Illumina数据完成了中国板栗的高质量全基因组从头组装与注释。基因组大小约785.53 Mb，contig N50达944 kb，共注释36,479个蛋白编码基因，重复序列占49.69%（LTR反转录转座子占19.92%），BUSCO核心基因完整率96.7%，BAC物理图谱比对率94.41%。系统发育分析表明板栗与夏栎（橡树）为姊妹群，约在1362万年前分化；共鉴定17,422个基因家族，其中209个显著扩张、89个收缩；串联排列基因（TAG）达1,122簇、含4,198个基因，占全基因组11.5%，显著高于杨树和苹果，是板栗基因组的重要特征。该参考基因组为板栗比较基因组学、驯化研究以及抗病性和坚果品质的遗传改良育种奠定了基础。</t>
        </is>
      </c>
      <c r="O88" s="2" t="inlineStr">
        <is>
          <t>基因组785.53 Mb，2,707条contig，N50 944 kb，最大contig 6.58 Mb；注释36,479个蛋白编码基因，基因平均长1,139.63 bp；k-mer估算基因组772 Mb，杂合度约0.87%；重复序列49.69%，LTR占19.92%，鉴定5,470个完整LTR，插入高峰0-1.74 Mya；BUSCO完整基因1,392/1,440（96.7%）；17,422个基因家族，209个扩张、89个收缩（P&lt;0.05）；板栗与夏栎约13.62 Mya分化，Fagales与Rosales约90.75 Mya分化，与核桃约62.7 Mya分化；TAG占基因组11.5%（杨树4.9%、苹果4.2%、夏栎19.7%）；2017年中国板栗产量1,939,719吨，占世界83.34%</t>
        </is>
      </c>
      <c r="P88" s="2" t="inlineStr">
        <is>
          <t>该参考基因组可加速板栗抗栗疫病、抗根腐病及坚果品质的分子育种与标记开发，服务品种遗传改良；同时提供了中国板栗产量占世界83%以上等权威产业背景数据。</t>
        </is>
      </c>
      <c r="Q88" s="5" t="inlineStr">
        <is>
          <t>低</t>
        </is>
      </c>
      <c r="R88" s="2" t="inlineStr"/>
      <c r="S88" s="2" t="inlineStr">
        <is>
          <t>中国板栗广泛种植于中国用于坚果生产，并在造林和生态系统中发挥重要作用。为促进板栗育种和遗传改良，本研究报道了板栗全基因组序列。利用PacBio单分子测序获得高质量组装：基因组约785.53 Mb，contig N50为944 kb，注释36,479个蛋白编码基因。系统发育分析显示板栗与壳斗科夏栎约1362万年前分化。该高质量全基因组组装将为板栗抗病性和坚果品质的进一步遗传改良与育种提供宝贵资源。</t>
        </is>
      </c>
    </row>
    <row r="89">
      <c r="A89" s="2" t="n">
        <v>88</v>
      </c>
      <c r="B89" s="2" t="inlineStr">
        <is>
          <t>088_2019_One New Phenolic Compound from Castanea mollissima Shells and its Suppression of HepatomaCell Pr.md</t>
        </is>
      </c>
      <c r="C89" s="2" t="inlineStr">
        <is>
          <t>2019</t>
        </is>
      </c>
      <c r="D89" s="2" t="inlineStr">
        <is>
          <t>英文</t>
        </is>
      </c>
      <c r="E89" s="2" t="inlineStr">
        <is>
          <t>One New Phenolic Compound from Castanea mollissima Shells and its Suppression of Hepatoma Cell Proliferation and Inflammation by Inhibiting NF-κB Pathway</t>
        </is>
      </c>
      <c r="F89" s="2" t="inlineStr">
        <is>
          <t>板栗壳中一个新酚类化合物及其通过抑制NF-κB通路对肝癌细胞增殖与炎症的抑制作用</t>
        </is>
      </c>
      <c r="G89" s="2" t="inlineStr">
        <is>
          <t>Wu Fei, Yao Xuan, Xu Jian, et al.</t>
        </is>
      </c>
      <c r="H89" s="2" t="inlineStr">
        <is>
          <t>International Journal of Molecular Sciences, 2019, 20, 466</t>
        </is>
      </c>
      <c r="I89" s="2" t="inlineStr">
        <is>
          <t>生物活性与功效</t>
        </is>
      </c>
      <c r="J89" s="2" t="inlineStr">
        <is>
          <t>酚类化合物分离鉴定与抗肿瘤抗炎活性</t>
        </is>
      </c>
      <c r="K89" s="2" t="inlineStr">
        <is>
          <t>板栗壳；酚类化合物；Castanol B；抗肝癌；抗炎；TLR4–NF-κB通路</t>
        </is>
      </c>
      <c r="L89" s="2" t="inlineStr">
        <is>
          <t>板栗壳（2016年7月产自湖北，上海中医药大学标本馆凭证标本Zheng 5590）；LPS诱导的人肝癌SMMC-7721和HepG2细胞模型</t>
        </is>
      </c>
      <c r="M89" s="2" t="inlineStr">
        <is>
          <t>40%乙醇提取板栗壳水溶性成分，甲醇萃取后经C18固相萃取和制备HPLC分离；UV、IR、HR-ESI-MS、NMR（1H/13C/DEPT/HMBC）波谱鉴定结构；MTT法检测增殖抑制；Annexin V-FITC/PI流式检测凋亡；ELISA检测TNF-α和IL-6；Western blot检测TLR4、IKKβ、NF-κB p65蛋白</t>
        </is>
      </c>
      <c r="N89" s="2" t="inlineStr">
        <is>
          <t>从板栗壳水溶性提取物中分离鉴定了7个酚类化合物，包括新化合物castanol B（1，鉴定为5,3′,4′-三羟基-3-羧基联苯，分子式C13H10O5）和6个已知化合物，其中化合物2-7均为首次在板栗中发现，化合物2（7,8-二羟基-2H-色原烯-3-酮）理化性质为首次报道。活性筛选显示castanol B对LPS诱导的SMMC-7721和HepG2肝癌细胞增殖抑制最强，100-200 µM下抑制率超过50%，显著诱导细胞凋亡，并剂量依赖性降低促炎因子TNF-α和IL-6的分泌；机制上通过下调TLR4、IKKβ和NF-κB p65抑制TLR4-NF-κB信号通路。castanol B母核与保肝药联苯双酯（DDB）相同。研究表明板栗壳富含具抗癌抗炎活性的酚类物质，为这一加工废弃物的药用开发和高值化利用提供了新方向。</t>
        </is>
      </c>
      <c r="O89" s="2" t="inlineStr">
        <is>
          <t>分离鉴定7个酚类化合物，其中新化合物castanol B为5,3′,4′-三羟基-3-羧基联苯（C13H10O5，m/z 245.0462 [M-H]-），母核与保肝药DDB相同；化合物2-7（含7,8-二羟基-2H-色原烯-3-酮等）首次在板栗中发现；castanol B在100和200 µM下对LPS（50 ng/mL）诱导的SMMC-7721和HepG2细胞增殖抑制率大于50%；200 µM和100 µM显著促进细胞凋亡；剂量依赖性降低TNF-α和IL-6分泌；200 µM显著下调TLR4、IKKβ、NF-κB p65蛋白表达</t>
        </is>
      </c>
      <c r="P89" s="2" t="inlineStr">
        <is>
          <t>提示板栗壳富含联苯类等保肝、抗炎、抗肿瘤活性酚类物质，可开发功能性提取物或医药原料，提升板栗壳废弃物附加值，为栗农和加工企业增收提供新途径。</t>
        </is>
      </c>
      <c r="Q89" s="3" t="inlineStr">
        <is>
          <t>中</t>
        </is>
      </c>
      <c r="R89" s="2" t="inlineStr"/>
      <c r="S89" s="2" t="inlineStr">
        <is>
          <t>板栗壳是板栗加工业的农业废弃物，已被证明是中药资源。从板栗壳水溶性提取物中分离得到一个新酚类化合物castanol B（1）和6个已知酚类化合物（2-7），经制备HPLC和多种波谱分析鉴定结构，其中7个化合物均为首次从板栗中鉴定，化合物2的理化性质亦为首次报道。对化合物1-7在LPS诱导的SMMC-7721和HepG2肝癌细胞上进行抗增殖筛选，castanol B抑制效果最佳，并显著诱导细胞凋亡、降低TNF-α和IL-6分泌；其机制为下调TLR4、IKKβ和NF-κB p65抑制TLR4-NF-κB通路。本研究报道了一个新酚类化合物及其通过抑制TLR4-NF-κB通路的抗癌抗炎作用，为板栗壳回收利用提供了新的可能性。</t>
        </is>
      </c>
    </row>
    <row r="90">
      <c r="A90" s="2" t="n">
        <v>89</v>
      </c>
      <c r="B90" s="2" t="inlineStr">
        <is>
          <t>089_2019_Property changes in the Castanea mollissima Blume shell during composting and an evaluation of t.md</t>
        </is>
      </c>
      <c r="C90" s="2" t="inlineStr">
        <is>
          <t>2019</t>
        </is>
      </c>
      <c r="D90" s="2" t="inlineStr">
        <is>
          <t>英文</t>
        </is>
      </c>
      <c r="E90" s="2" t="inlineStr">
        <is>
          <t>Property Changes in the Castanea mollissima Blume Shell during Composting and an Evaluation of the Compost Maturity</t>
        </is>
      </c>
      <c r="F90" s="2" t="inlineStr">
        <is>
          <t>板栗壳堆肥过程中的性质变化及堆肥腐熟度评价</t>
        </is>
      </c>
      <c r="G90" s="2" t="inlineStr">
        <is>
          <t>Jinping Zhang, Yue Ying, Xiaohua Yao, et al.</t>
        </is>
      </c>
      <c r="H90" s="2" t="inlineStr">
        <is>
          <t>BioResources, 2019, 15(1), 469-478（2019年11月26日在线发表）</t>
        </is>
      </c>
      <c r="I90" s="2" t="inlineStr">
        <is>
          <t>栽培与土壤管理</t>
        </is>
      </c>
      <c r="J90" s="2" t="inlineStr">
        <is>
          <t>板栗壳堆肥与有机肥制备</t>
        </is>
      </c>
      <c r="K90" s="2" t="inlineStr">
        <is>
          <t>板栗壳；堆肥；腐熟度；畜禽粪便；发芽指数；碳氮比</t>
        </is>
      </c>
      <c r="L90" s="2" t="inlineStr">
        <is>
          <t>板栗壳（浙江杭州富阳新登镇，粉碎至15 mm以下）、羊粪（富阳）、干鸡粪（安徽黄山）、EM有效微生物菌剂、尿素；400 L堆肥装置，冬季（环境温度3-24℃）堆肥73天</t>
        </is>
      </c>
      <c r="M90" s="2" t="inlineStr">
        <is>
          <t>3种配方堆肥对比（A1纯板栗壳、A2壳+25%干鸡粪、A3壳+25%羊粪，均用尿素调C/N至30、加3% EM菌、含水率55%）；0/20/40/60/73天分层采样；监测温度、pH、TOC、TN、TP、TK、硝态氮、铵态氮、种子发芽指数（GI）和Solvita腐熟指数；Pearson相关分析建立腐熟度评价体系</t>
        </is>
      </c>
      <c r="N90" s="2" t="inlineStr">
        <is>
          <t>以板栗壳为主要原料，与25%鸡粪或羊粪共堆肥并添加EM菌，可在约60天获得腐熟安全的有机肥，明显快于纯板栗壳堆肥（73天仍未完全腐熟）。添加畜禽粪肥使堆体升温更快（2天进入高温期）、最高温度更高（61-69℃）、55℃以上高温期延长至11-17天，满足无害化卫生要求（大于3天）。腐熟过程中C/N和铵态氮随时间下降，硝态氮和种子发芽指数持续上升；73天时各组C/N分别降至18.96、16.19、14.88，GI均超过100%（无植物毒性）。羊粪组最终硝态氮高达31208.01 mg/kg，为鸡粪组（1972.08 mg/kg）的15倍、纯壳组（103.34 mg/kg）的300倍，羊粪是最佳共堆肥辅料。Pearson相关分析表明C/N、硝态氮和GI与Solvita腐熟指数显著相关，据此建立了板栗壳堆肥腐熟度评价体系：GI大于100%且T值（终末C/N/初始C/N）小于0.6可判定腐熟。</t>
        </is>
      </c>
      <c r="O90" s="2" t="inlineStr">
        <is>
          <t>原料性质：板栗壳C/N 61.10、TOC 38.51%、TN 0.63%；羊粪C/N 13.13；鸡粪C/N 12.60；堆肥工艺：C/N调至30、加3% EM菌、含水率55%；升温：A1/A2/A3分别3/2/2天进入高温期，最高温59/61/69℃，&gt;55℃持续11/11/17天；最终硝态氮：A1 103.34、A2 1972.08、A3 31208.01 mg/kg（A3为A1的30倍）；73天C/N：A1 18.96、A2 16.19、A3 14.88；T值：A1 0.632（未腐熟）、A2 0.539、A3 0.496（腐熟）；73天各组GI均&gt;100%；Solvita指数：A2、A3达7（完成腐熟），A1仅6；腐熟判定标准：GI&gt;100%且T&lt;0.6</t>
        </is>
      </c>
      <c r="P90" s="2" t="inlineStr">
        <is>
          <t>提供了板栗壳与畜禽粪便堆肥的实用配方（壳+25%羊粪或鸡粪、尿素调C/N至30、加3% EM菌、含水率55%、约60天腐熟）和腐熟判定标准（GI&gt;100%、T&lt;0.6），可直接指导栗园有机肥生产与板栗壳废弃物处理。</t>
        </is>
      </c>
      <c r="Q90" s="4" t="inlineStr">
        <is>
          <t>高</t>
        </is>
      </c>
      <c r="R90" s="2" t="inlineStr"/>
      <c r="S90" s="2" t="inlineStr">
        <is>
          <t>板栗壳的回收利用可保障板栗加工业的可持续发展，堆肥可获得高腐熟度的安全产品。本研究监测了板栗壳与羊粪、鸡粪共堆肥过程中温度、碳氮比、铵态氮、硝态氮和种子发芽指数的变化，并建立堆肥腐熟度指标体系。结果表明畜禽粪便可加速板栗壳堆肥进程并延长高温期；C/N和铵态氮随堆肥时间下降，硝态氮和发芽指数上升；Pearson相关分析表明碳氮比、硝态氮含量和发芽指数可用于评价板栗壳堆肥腐熟度。</t>
        </is>
      </c>
    </row>
    <row r="91">
      <c r="A91" s="2" t="n">
        <v>90</v>
      </c>
      <c r="B91" s="2" t="inlineStr">
        <is>
          <t>090_2019_Roles of the GA-mediated SPL Gene Family and miR156 in the Floral Development of Chinese Chestnu.md</t>
        </is>
      </c>
      <c r="C91" s="2" t="inlineStr">
        <is>
          <t>2019</t>
        </is>
      </c>
      <c r="D91" s="2" t="inlineStr">
        <is>
          <t>英文</t>
        </is>
      </c>
      <c r="E91" s="2" t="inlineStr">
        <is>
          <t>Roles of the GA-mediated SPL Gene Family and miR156 in the Floral Development of Chinese Chestnut (Castanea mollissima)</t>
        </is>
      </c>
      <c r="F91" s="2" t="inlineStr">
        <is>
          <t>赤霉素介导的SPL基因家族与miR156在中国板栗花发育中的作用</t>
        </is>
      </c>
      <c r="G91" s="2" t="inlineStr">
        <is>
          <t>Guosong Chen, Jingtong Li, Yang Liu, et al.</t>
        </is>
      </c>
      <c r="H91" s="2" t="inlineStr">
        <is>
          <t>International Journal of Molecular Sciences, 2019, 20, 1577</t>
        </is>
      </c>
      <c r="I91" s="2" t="inlineStr">
        <is>
          <t>生理与分子机制</t>
        </is>
      </c>
      <c r="J91" s="2" t="inlineStr">
        <is>
          <t>花发育与激素调控（GA-miR156-SPL模块）</t>
        </is>
      </c>
      <c r="K91" s="2" t="inlineStr">
        <is>
          <t>板栗；SPL基因家族；miR156；赤霉素；花发育；性别分化</t>
        </is>
      </c>
      <c r="L91" s="2" t="inlineStr">
        <is>
          <t>18年生板栗品种'燕山红栗'（北京怀柔板栗试验站）；花芽（4个时期）、雌花、雄花簇、雄蕊、柱头、子房、叶片等器官；赤霉素（GA）100 mg/L与多效唑PP333 1000 mg/L整树喷施处理</t>
        </is>
      </c>
      <c r="M91" s="2" t="inlineStr">
        <is>
          <t>基于板栗基因组用HMM（SBP域pfam03110）和BLASTP鉴定SPL基因；MEGA7构建SBP域系统进化树；MEME分析保守基序；qRT-PCR分析18个CmSPL与CmmiR156在不同器官和GA处理花芽中的表达；花前喷施GA和PP333并统计雌雄花数量长度；RLM-RACE验证miR156对靶基因的剪切位点</t>
        </is>
      </c>
      <c r="N91" s="2" t="inlineStr">
        <is>
          <t>在板栗基因组中鉴定出18个SPL基因，其中10个含CmmiR156互补区，基于SBP结构域分为8组，同组基因基序组成与表达模式相似；CmSPL蛋白长151-1091个氨基酸。板栗雌雄花比例悬殊（1:2400-4000），大量雄花消耗树体营养是低产的重要原因。激素处理表明：100 mg/L GA显著改变雌雄花数量与比例，使雌花簇/雄花序比由1.50降至1.14，而GA抑制剂多效唑PP333（1000 mg/L）显著增加每枝雌花簇数（2.71增至3.70）。GA处理显著上调CmmiR156表达并下调其靶基因CmSPL6/9/16；RLM-RACE证实miR156分别在互补区第12和第10位碱基处切割CmSPL9和CmSPL16（剪切效率10/10和8/10）。结果表明GA可能通过miR156间接调控SPL基因表达进而影响花发育，为调节板栗雌雄花比例、解决低产问题提供了分子基础和实践参考。</t>
        </is>
      </c>
      <c r="O91" s="2" t="inlineStr">
        <is>
          <t>板栗基因组含18个SPL基因，10个为CmmiR156靶基因；CmSPL蛋白151-1091 aa、分子量17.3-120.6 kDa、pI 5.72-9.39；雌雄花比1:2400-4000；GA 100 mg/L使雌花簇/雄花序比由1.50降至1.14、雌花数/雄花序比由0.47降至0.22，显著降低雌花比例；PP333 1000 mg/L显著增加每枝雌花簇数（3.70±1.42 vs 对照2.71±1.62）；GA显著上调CmmiR156并下调CmSPL6/9/16；miR156在第12/10位核苷酸切割CmSPL9/16，效率10/10和8/10；CmmiR156在雄花簇和雄蕊中表达量约为雌花的2倍；研究材料为'燕山红栗'</t>
        </is>
      </c>
      <c r="P91" s="2" t="inlineStr">
        <is>
          <t>花前喷施多效唑（PP333 1000 mg/L）可显著增加雌花簇数量，为生产上调节雌雄花比例、减少雄花营养消耗、提高板栗产量提供化控参考；GA则促进雄花、抑制雌花，应避免盲目使用。</t>
        </is>
      </c>
      <c r="Q91" s="3" t="inlineStr">
        <is>
          <t>中</t>
        </is>
      </c>
      <c r="R91" s="2" t="inlineStr"/>
      <c r="S91" s="2" t="inlineStr">
        <is>
          <t>板栗是雌雄同株异花、雌雄花比例悬殊的树种，是木本植物花发育研究的重要材料。本研究在板栗基因组中鉴定出18个SPL基因，其中10个含CmmiR156互补区；基于SBP结构域将板栗、拟南芥和杨树的SPL基因分为8组，板栗与杨树同组基因进化关系更近。qRT-PCR分析显示部分结构相似的CmSPL基因表达模式相似。GA及其抑制剂PP333处理板栗树对雌雄花数量和长度有显著影响：GA显著上调CmmiR156并下调其靶基因CmSPL6/9/16在花芽发育中的表达，表明GA可能通过miR156间接影响SPL靶基因表达。RLM-RACE实验证实CmmiR156在互补区第10和第12位碱基处切割CmSPL9和CmSPL16。这些结果为进一步研究CmSPL在板栗花发育中的生物学功能奠定了基础。</t>
        </is>
      </c>
    </row>
    <row r="92">
      <c r="A92" s="2" t="n">
        <v>91</v>
      </c>
      <c r="B92" s="2" t="inlineStr">
        <is>
          <t>091_2019_The Chinese chestnut genome_ a reference for species restoration.md</t>
        </is>
      </c>
      <c r="C92" s="2" t="inlineStr">
        <is>
          <t>2019</t>
        </is>
      </c>
      <c r="D92" s="2" t="inlineStr">
        <is>
          <t>英文</t>
        </is>
      </c>
      <c r="E92" s="2" t="inlineStr">
        <is>
          <t>The Chinese chestnut genome: a reference for species restoration</t>
        </is>
      </c>
      <c r="F92" s="2" t="inlineStr">
        <is>
          <t>中国板栗基因组：物种恢复的参考基因组</t>
        </is>
      </c>
      <c r="G92" s="2" t="inlineStr">
        <is>
          <t>Staton M, Addo-Quaye C, Cannon N, et al.</t>
        </is>
      </c>
      <c r="H92" s="2" t="inlineStr">
        <is>
          <t>bioRxiv预印本 (doi:10.1101/615047)</t>
        </is>
      </c>
      <c r="I92" s="2" t="inlineStr">
        <is>
          <t>基因组与基因家族</t>
        </is>
      </c>
      <c r="J92" s="2" t="inlineStr">
        <is>
          <t>全基因组测序组装与群体基因组学</t>
        </is>
      </c>
      <c r="K92" s="2" t="inlineStr">
        <is>
          <t>板栗基因组；参考基因组；抗病候选基因；群体基因组学；种间渐渗；比较基因组学</t>
        </is>
      </c>
      <c r="L92" s="2" t="inlineStr">
        <is>
          <t>板栗栽培种'Vanuxem'（基因组测序材料，美国栗树基金会农场）；亚洲3种栗共98棵野生树（板栗43棵/34个地点、茅栗28棵/23个地点、锥栗27棵/19个地点）重测序；美洲栗5个基因型对比</t>
        </is>
      </c>
      <c r="M92" s="2" t="inlineStr">
        <is>
          <t>454+Illumina MiSeq混合组装、PacBio长读长补洞；遗传图谱标记锚定构建12条假染色体；BAC-FISH细胞遗传学定位；BRAKER2基因预测与BUSCO完整性评估；SMC++种群历史推断；Tajima's D选择信号分析；种间渐渗分析(tit统计量)；与橡树、桃比较基因组学分析</t>
        </is>
      </c>
      <c r="N92" s="2" t="inlineStr">
        <is>
          <t>该研究完成中国板栗参考基因组组装：V1.1版本724 Mb（覆盖91.2%），V3.2版本783.4 Mb（约98%基因组），并锚定构建12条假染色体（421.3 Mb），预测30,835个高质量基因模型，BUSCO评估93%单拷贝基因完整。重复序列占基因组50.7%，以LTR逆转录转座子（17.48%）为主；NBS-LRR抗病基因家族仅300个，明显少于橡树（874个）。对3种亚洲栗98棵树重测序获得6603万SNP，茅栗（0.0055）和锥栗（0.0052）杂合度高于板栗（0.0039）；板栗与茅栗亲缘最近构成单支系，约112个基因存在种间渐渗，其中7个位于抗栗疫病QTL区。在LGB抗栗疫病主效QTL cbr1重叠区发现受强纯化选择（TajD&lt;-2）的候选基因IP5P1（肌醇多磷酸5-磷酸酶，参与ABA信号）；在LGE疫霉根腐病抗性QTL内鉴定出34个受选择区域及细胞壁、受体激酶类候选基因。板栗与橡树、桃基因组高度共线性、无近期全基因组加倍，DAM基因同源区为芽萌发QTL主控位点并在板栗中受纯化选择。该基因组为板栗抗病育种和美洲栗物种恢复提供了基因组学平台。</t>
        </is>
      </c>
      <c r="O92" s="2" t="inlineStr">
        <is>
          <t>基因组估计794 Mb；V1.1组装724 Mb覆盖91.2%；V3.2组装783.4 Mb覆盖98%；V4.0假染色体421.3 Mb共12条；高质量基因模型30,835个；BUSCO 1,355/1,440（93%）单拷贝基因完整；重复序列占50.74%、LTR占17.48%；NBS-LRR基因板栗300个/桃386/葡萄450/杨树556/橡树874；98棵树检出6603万SNP；杂合度茅栗0.0055&gt;锥栗0.0052&gt;板栗0.0039；潜在渐渗基因约112个；7个渐渗候选基因位于3个抗栗疫病QTL区；cbr1区强选择信号基因IP5P1（contig0002011 ORF13）；LGE疫霉抗性QTL内34个候选受选区域</t>
        </is>
      </c>
      <c r="P92" s="2" t="inlineStr">
        <is>
          <t>为板栗抗栗疫病、抗疫霉根腐病育种提供候选基因和高密度分子标记资源，支撑种间杂交回交中的分子标记辅助选择与全基因组选择，也为芽萌发期（物候）等重要性状的基因定位提供参照。</t>
        </is>
      </c>
      <c r="Q92" s="5" t="inlineStr">
        <is>
          <t>低</t>
        </is>
      </c>
      <c r="R92" s="2" t="inlineStr"/>
      <c r="S92" s="2" t="inlineStr">
        <is>
          <t>森林树种因外来病虫害和气候变化面临严重死亡威胁，抗性基因可通过种间渗入导入受威胁树种，但这需要全基因组水平的育种工具。亚洲栗种正被用作抗病基因供体以恢复北美和欧洲的原生栗种。为辅助受威胁栗种恢复，研究团队完成了中国板栗（美洲栗恢复的抗病供体种）染色体尺度参考基因组组装，并展示了该基因组作为研究和物种恢复平台的价值，包括对亚洲栗抗病性演化的新认识、区分美洲栗与板栗的重要选择信号基因组位点、抗病候选基因的鉴定以及与近缘种的基因组结构比较。</t>
        </is>
      </c>
    </row>
    <row r="93">
      <c r="A93" s="2" t="n">
        <v>92</v>
      </c>
      <c r="B93" s="2" t="inlineStr">
        <is>
          <t>092_2019_Transcriptome Analysis of Chinese Chestnut (Castanea mollissima Blume) in Response to Dryocosmus.md</t>
        </is>
      </c>
      <c r="C93" s="2" t="inlineStr">
        <is>
          <t>2019</t>
        </is>
      </c>
      <c r="D93" s="2" t="inlineStr">
        <is>
          <t>英文</t>
        </is>
      </c>
      <c r="E93" s="2" t="inlineStr">
        <is>
          <t>Transcriptome Analysis of Chinese Chestnut (Castanea mollissima Blume) in Response to Dryocosmus kuriphilus Yasumatsu Infestation</t>
        </is>
      </c>
      <c r="F93" s="2" t="inlineStr">
        <is>
          <t>板栗对栗瘿蜂侵染响应的转录组分析</t>
        </is>
      </c>
      <c r="G93" s="2" t="inlineStr">
        <is>
          <t>Zhu Cancan, Shi Fenghou, Chen Yu, et al.</t>
        </is>
      </c>
      <c r="H93" s="2" t="inlineStr">
        <is>
          <t>International Journal of Molecular Sciences, 2019, 20(4): 855</t>
        </is>
      </c>
      <c r="I93" s="2" t="inlineStr">
        <is>
          <t>病虫害防治</t>
        </is>
      </c>
      <c r="J93" s="2" t="inlineStr">
        <is>
          <t>栗瘿蜂致瘿的寄主转录组响应机制</t>
        </is>
      </c>
      <c r="K93" s="2" t="inlineStr">
        <is>
          <t>板栗；栗瘿蜂；转录组；虫瘿形成；防御响应；差异表达基因</t>
        </is>
      </c>
      <c r="L93" s="2" t="inlineStr">
        <is>
          <t>1年生板栗品种'红栗'(Hongli)幼苗，种植于江苏省南京市板栗种质资源圃（32°06'N, 118°84'E）；栗瘿蜂虫瘿4个发育期叶片：始发期A（4月7日）、生长早期B（4月10日）、生长后期C（4月15日）、成熟期D（4月26日），以健康叶片为对照，每处理3个生物学重复</t>
        </is>
      </c>
      <c r="M93" s="2" t="inlineStr">
        <is>
          <t>Illumina HiSeq2500 RNA-seq测序（15个cDNA文库）；HISAT2比对参考基因组；NOISeq法鉴定差异表达基因（FC≥2且divergence probability≥0.8）；GO/KEGG富集分析；PlantTFDB转录因子鉴定；qRT-PCR验证19个防御相关基因</t>
        </is>
      </c>
      <c r="N93" s="2" t="inlineStr">
        <is>
          <t>该研究用RNA-seq解析了板栗受栗瘿蜂侵染后虫瘿4个发育期的基因表达动态。共检出21,695个基因，21,306个获功能注释；与对照相比，4期差异表达基因分别为2410、7373、6294、9412个，随瘿瘤发育寄主响应持续增强，生长早期（B期）是叶片大幅响应的起点。瘿蜂侵染激活了JA、SA激素信号转导、Ca2+信号（CML基因）和WRKY转录因子（31个差异表达，多数上调）；苯丙烷代谢途径基因（PAL、CAD、CCOAOMT、COMT等）全面上调，参与木质素和多酚类防御物质合成；而萜类合成与角质、蜡质代谢相关基因（萜烯合酶、GGPP合酶、CER1、蜡酯合酶、WSD1等）显著下调，提示瘿蜂可能通过抑制萜类挥发物和角质层合成来削弱板栗防御、增加感虫性。ROS代谢基因显著重编程：SOD基因下调、CAT和过氧化物酶（70个基因）上调、6个呼吸爆发氧化酶基因全部上调，暗示板栗可能通过超敏反应限制虫瘿扩展。qRT-PCR验证与测序结果总体一致。该研究为抗瘿蜂板栗品种选育提供了候选防御基因。</t>
        </is>
      </c>
      <c r="O93" s="2" t="inlineStr">
        <is>
          <t>15个cDNA文库获295.14M clean reads，平均每样23.94M；4期DEGs数：A期2410、B期7373、C期6294、D期9412；549个共上调基因、196个共下调基因；31个WRKY差异表达（始发期11个上调1个下调）；70个过氧化物酶基因多数上调；72个萜类合成相关基因多数下调；4个CER1基因显著下调；所有PAL基因上调；4个SOD基因B-D期下调而2个CAT基因上调；6个呼吸爆发氧化酶基因全部上调；19个基因qRT-PCR验证与RNA-seq基本一致</t>
        </is>
      </c>
      <c r="P93" s="2" t="inlineStr">
        <is>
          <t>揭示了板栗对栗瘿蜂的分子防御机制和瘿蜂削弱寄主防御的策略，为抗瘿蜂品种的分子标记辅助选育、抗性基因挖掘及基于诱导抗性的防控思路提供理论基础。</t>
        </is>
      </c>
      <c r="Q93" s="3" t="inlineStr">
        <is>
          <t>中</t>
        </is>
      </c>
      <c r="R93" s="2" t="inlineStr"/>
      <c r="S93" s="2" t="inlineStr">
        <is>
          <t>板栗可被栗瘿蜂（Dryocosmus kuriphilus Yasumatsu）侵染形成虫瘿并造成产量损失，利用基因组学手段研究瘿蜂防控的报道很少。研究采用RNA-seq分析了板栗在栗瘿蜂致瘿4个阶段的基因动态变化，共21,306个基因获BLAST注释。瘿瘤各发育期与对照比较鉴定出大量差异表达基因（4期分别为2410、7373、6294、9412个）。注释分析表明苯丙烷生物合成、次生代谢、植物-病原互作等代谢过程受影响，信号转导、胁迫响应和转录因子相关基因也被差异调控，这些基因可能在板栗响应栗瘿蜂致瘿中发挥重要作用。这些关于栗瘿蜂侵染机制的新数据有助于改良板栗抗性。</t>
        </is>
      </c>
    </row>
    <row r="94">
      <c r="A94" s="2" t="n">
        <v>93</v>
      </c>
      <c r="B94" s="2" t="inlineStr">
        <is>
          <t>093_2018_Amino acid composition and nutritional value evaluation of Chinese chestnut ( Castanea mollissim.md</t>
        </is>
      </c>
      <c r="C94" s="2" t="inlineStr">
        <is>
          <t>2018</t>
        </is>
      </c>
      <c r="D94" s="2" t="inlineStr">
        <is>
          <t>英文</t>
        </is>
      </c>
      <c r="E94" s="2" t="inlineStr">
        <is>
          <t>Amino acid composition and nutritional value evaluation of Chinese chestnut (Castanea mollissima Blume) and its protein subunit</t>
        </is>
      </c>
      <c r="F94" s="2" t="inlineStr">
        <is>
          <t>中国板栗的氨基酸组成、营养价值评价及其蛋白亚基</t>
        </is>
      </c>
      <c r="G94" s="2" t="inlineStr">
        <is>
          <t>Yang Fang, Huang Xingjian, Zhang Conglan, et al.</t>
        </is>
      </c>
      <c r="H94" s="2" t="inlineStr">
        <is>
          <t>RSC Advances, 2018, 8: 2653-2659</t>
        </is>
      </c>
      <c r="I94" s="2" t="inlineStr">
        <is>
          <t>果实品质与营养</t>
        </is>
      </c>
      <c r="J94" s="2" t="inlineStr">
        <is>
          <t>蛋白质与氨基酸营养评价</t>
        </is>
      </c>
      <c r="K94" s="2" t="inlineStr">
        <is>
          <t>板栗蛋白；氨基酸组成；清蛋白；DIAAS；限制性氨基酸；营养价值</t>
        </is>
      </c>
      <c r="L94" s="2" t="inlineStr">
        <is>
          <t>中国三个产区板栗鲜果（2014年秋采收，同经度113°、纬度23-34°跨度）：河南(HEN)、湖南(HUN)、广东(GD)，每区1000 g，秋季均温分别为20.6、23.8、26.2°C</t>
        </is>
      </c>
      <c r="M94" s="2" t="inlineStr">
        <is>
          <t>氨基酸自动分析仪(Hitachi 835-50)测定氨基酸组成；Osborne分级提取（水/盐/乙醇/碱依次提取清蛋白、球蛋白、醇溶蛋白、谷蛋白）；SDS-PAGE电泳分析蛋白亚基；AAS、DIAAS、EAAI、预测PER等FAO/WHO(2013)营养评价指标</t>
        </is>
      </c>
      <c r="N94" s="2" t="inlineStr">
        <is>
          <t>该研究系统评价了河南、湖南、广东三产区板栗的氨基酸组成、蛋白亚基和营养价值。板栗可溶性蛋白以清蛋白为主（占71.62%，湖南最高5.24%），谷蛋白次之（28.38%），球蛋白和醇溶蛋白均未检出，与豆类蛋白以球蛋白为主明显不同，是板栗蛋白的显著特征。粗蛋白含量7.54%-9.74%（干基），湖南产区最高；必需氨基酸占总氨基酸37.4%-40.5%（理想蛋白约37%），氨基酸组成均衡，AAS全部达到FAO/WHO(2013)对大龄儿童、青少年及成人的推荐要求；含硫氨基酸3.8-3.9 g/100g蛋白，高于参考标准（2.3 g/100g）；亮氨酸为第一限制性氨基酸，DIAAS为91%-98%，属'良好'级，优于大米（73%）、小麦粉（51%）和扁豆（54%）等常见植物蛋白。SDS-PAGE显示三地蛋白条带基本一致，主要由7个多肽段（91-93、70-72、53-55、37、27-33、20、5-15 kDa）组成；清蛋白由5-32 kDa低分子量亚基构成，占总蛋白70%以上，利于水溶性与消化吸收。板栗是优质植物蛋白来源，膳食搭配时宜与富含亮氨酸的食物组合。</t>
        </is>
      </c>
      <c r="O94" s="2" t="inlineStr">
        <is>
          <t>粗蛋白：河南8.12%、湖南9.74%、广东7.54%（平均8.47%干基）；可溶性蛋白4.86%-6.68%；清蛋白占可溶性蛋白71.62%、谷蛋白28.38%、球蛋白和醇溶蛋白未检出；含硫氨基酸3.9/3.8/3.8 g/100g蛋白（FAO/WHO标准2.3）；必需氨基酸E/T=37.4%-40.5%；DIAAS：HEN 93%(Leu)、HUN 91%(Leu)、GD 98%(Val)；总必需氨基酸AAS 136-147%；蛋白主要由7个多肽段组成（5-93 kDa）；清蛋白亚基Alb-1 32 kDa、Alb-2 27 kDa、Alb-3 20 kDa、Alb-4 5-15 kDa</t>
        </is>
      </c>
      <c r="P94" s="2" t="inlineStr">
        <is>
          <t>证明板栗蛋白是优质植物蛋白（DIAAS&gt;90%），为板栗蛋白深加工、植物蛋白饮料和功能性食品开发提供营养学依据；亮氨酸为限制性氨基酸，产品配方设计时应注意与富含亮氨酸的原料搭配。</t>
        </is>
      </c>
      <c r="Q94" s="4" t="inlineStr">
        <is>
          <t>高</t>
        </is>
      </c>
      <c r="R94" s="2" t="inlineStr"/>
      <c r="S94" s="2" t="inlineStr">
        <is>
          <t>研究调查了中国三个产区（河南、湖南、广东）板栗的氨基酸组成、营养价值和蛋白亚基。结果表明清蛋白组分主导板栗蛋白组成，球蛋白和醇溶蛋白未检出。所有板栗蛋白氨基酸组成营养均衡，其氨基酸评分（AAS）可达到FAO/WHO（2013）对大龄儿童、青少年和成人必需氨基酸的要求；亮氨酸是所有板栗蛋白的第一限制性氨基酸，可消化必需氨基酸评分（DIAAS）均大于90（以Leu计）。SDS-PAGE谱显示不同板栗蛋白分离物的条带组成几乎相同，主要由7个多肽段组成，分子量分别为91-93、70-72、53-55、37、27-33、20和5-15 kDa。氨基酸组成和低分子量蛋白的丰度表明，板栗可作为人类营养的良好植物蛋白来源加以利用。</t>
        </is>
      </c>
    </row>
    <row r="95">
      <c r="A95" s="2" t="n">
        <v>94</v>
      </c>
      <c r="B95" s="2" t="inlineStr">
        <is>
          <t>094_2018_Comparison of Physicochemical Properties of Starches from Nine Chinese Chestnut Varieties.md</t>
        </is>
      </c>
      <c r="C95" s="2" t="inlineStr">
        <is>
          <t>2018</t>
        </is>
      </c>
      <c r="D95" s="2" t="inlineStr">
        <is>
          <t>英文</t>
        </is>
      </c>
      <c r="E95" s="2" t="inlineStr">
        <is>
          <t>Comparison of Physicochemical Properties of Starches from Nine Chinese Chestnut Varieties</t>
        </is>
      </c>
      <c r="F95" s="2" t="inlineStr">
        <is>
          <t>九个中国板栗品种淀粉理化性质比较</t>
        </is>
      </c>
      <c r="G95" s="2" t="inlineStr">
        <is>
          <t>Zhang Long, Liu Tianxiang, Hu Guanglong, et al.</t>
        </is>
      </c>
      <c r="H95" s="2" t="inlineStr">
        <is>
          <t>Molecules, 2018, 23(12): 3248</t>
        </is>
      </c>
      <c r="I95" s="2" t="inlineStr">
        <is>
          <t>果实品质与营养</t>
        </is>
      </c>
      <c r="J95" s="2" t="inlineStr">
        <is>
          <t>淀粉结构与理化特性</t>
        </is>
      </c>
      <c r="K95" s="2" t="inlineStr">
        <is>
          <t>板栗淀粉；C型淀粉；糊化特性；黏度特性；抗性淀粉；品种比较</t>
        </is>
      </c>
      <c r="L95" s="2" t="inlineStr">
        <is>
          <t>9个板栗品种（3113、Benlizi、大红袍、二庆早、黑山寨7号、密5、密6、阳光、燕山红），2017年种植于北京密云沙厂村同一农场（排除产地环境差异），成熟坚果4°C贮藏；材料来自北京市农林科学院林业果树研究所</t>
        </is>
      </c>
      <c r="M95" s="2" t="inlineStr">
        <is>
          <t>蒽酮比色法测淀粉含量；激光粒度仪测粒径分布；XRD测晶体结构；ATR-FTIR测短程有序度（1045/1022 cm-1）；SAXS测片层结构；DSC测糊化温度；RVA测黏度特性；TGA测热稳定性；猪胰α-淀粉酶+黑曲霉糖化酶体外消化测定RDS/SDS/RS；主成分分析(PCA)</t>
        </is>
      </c>
      <c r="N95" s="2" t="inlineStr">
        <is>
          <t>为排除产地环境干扰，该研究对同一农场种植的9个板栗品种淀粉理化性质进行系统比较。干基淀粉含量42.7%-49.3%，坚果单果重6.4-12.2 g、干种仁2.5-5.6 g，品种间差异显著（大红袍最大、3113最小）。淀粉粒呈圆形、椭圆形和多角形，具中央脐点和光滑表面，双峰粒径分布（小粒0.5-1.5 µm占体积约10%、大粒1.5-25 µm），体积平均粒径7.2-8.2 µm；表观直链淀粉23.8%-27.3%（燕山红最高27.3%）；9个品种均为C型结晶（黑山寨7号、密5、密6含较多B型组分，属CB型），相对结晶度18.5%-21.2%，短程有序度和片层结构相似。糊化起始、峰值、终止温度分别为60.4-63.9°C、64.8-68.3°C、70.5-74.5°C（高于欧洲栗）；峰值、热浆、崩解、终值、回生黏度分别为5524-6505、3042-3616、2205-2954、4378-4942、1326-1788 mPas。天然淀粉中抗性淀粉高达84.4%-90.7%，糊化后快速消化淀粉升至79.6%-89.5%、抗性淀粉降至7.1%-17.4%，表明加热烹调显著提高板栗淀粉消化率。PCA显示密6与黑山寨7号淀粉性质差异最大；糊化温度与片层峰强度正相关、与短程有序度负相关，糊化淀粉消化性与直链淀粉含量、峰值和崩解黏度正相关。结果为板栗品种品质育种和淀粉加工利用提供依据。</t>
        </is>
      </c>
      <c r="O95" s="2" t="inlineStr">
        <is>
          <t>干基淀粉含量42.7%-49.3%（阳光49.3%、大红袍49.2%最高，二庆早42.7%最低）；鲜坚果重6.4-12.2 g（大红袍12.2 g最大、3113 6.4 g最小）；体积平均粒径D[4,3] 7.2-8.2 µm、小粒占体积9.76%-11.84%；表观直链淀粉23.8%-27.3%（燕山红27.3%最高）；相对结晶度18.5%-21.2%；糊化温度To 60.4-63.9°C、Tp 64.8-68.3°C、Tc 70.5-74.5°C（密6的To 60.4°C最低、二庆早63.9°C最高）；峰值黏度5524-6505 mPas（密5最高）；天然淀粉RDS 2.6-3.7%、SDS 5.7-12.7%、RS 84.4-90.7%；糊化淀粉RDS 79.6-89.5%、SDS 1.3-3.8%、RS 7.1-17.4%（燕山红糊化后RS仅7.1%、消化最快）</t>
        </is>
      </c>
      <c r="P95" s="2" t="inlineStr">
        <is>
          <t>明确了品种是板栗淀粉品质差异的内在因素：选育高淀粉、易消化品种可优先考虑阳光、大红袍；淀粉深加工时燕山红等低抗性淀粉品种糊化后消化率高适合即食制品，密6等高抗性淀粉品种适合开发缓释/抗性淀粉功能食品。</t>
        </is>
      </c>
      <c r="Q95" s="4" t="inlineStr">
        <is>
          <t>高</t>
        </is>
      </c>
      <c r="R95" s="2" t="inlineStr"/>
      <c r="S95" s="2" t="inlineStr">
        <is>
          <t>板栗是许多国家的大众食品，也是重要的淀粉来源。以往研究多比较不同产地条件下板栗品种的淀粉理化性质，本研究对种植于同一农场的9个中国板栗品种进行比较以排除生长条件影响。干种仁淀粉含量42.7%-49.3%；各品种淀粉形态相似，呈圆形、椭圆形、椭球形和多角形，具中央脐点、表面光滑；淀粉具双峰粒径分布，体积加权平均粒径7.2-8.2 µm；表观直链淀粉含量23.8%-27.3%，均为C型晶体结构，相对结晶度、有序度和片层结构相似；糊化起始、峰值、终止温度分别为60.4-63.9°C、64.8-68.3°C、70.5-74.5°C；峰值、热浆、崩解、终值、回生黏度分别为5524-6505、3042-3616、2205-2954、4378-4942、1326-1788 mPas；天然淀粉的快消化淀粉、慢消化淀粉和抗性淀粉分别为2.6-3.7%、5.7-12.7%和84.4-90.7%，糊化淀粉分别为79.6-89.5%、1.3-3.8%和7.1-17.4%。</t>
        </is>
      </c>
    </row>
    <row r="96">
      <c r="A96" s="2" t="n">
        <v>95</v>
      </c>
      <c r="B96" s="2" t="inlineStr">
        <is>
          <t>095_2018_Construction of a SNP-Based High-Density Genetic Map Using Genotyping by Sequencing (GBS) and QT.md</t>
        </is>
      </c>
      <c r="C96" s="2" t="inlineStr">
        <is>
          <t>2018</t>
        </is>
      </c>
      <c r="D96" s="2" t="inlineStr">
        <is>
          <t>英文</t>
        </is>
      </c>
      <c r="E96" s="2" t="inlineStr">
        <is>
          <t>Construction of a SNP-Based High-Density Genetic Map Using Genotyping by Sequencing (GBS) and QTL Analysis of Nut Traits in Chinese Chestnut (Castanea mollissima Blume)</t>
        </is>
      </c>
      <c r="F96" s="2" t="inlineStr">
        <is>
          <t>利用GBS构建板栗SNP高密度遗传图谱及坚果性状QTL分析</t>
        </is>
      </c>
      <c r="G96" s="2" t="inlineStr">
        <is>
          <t>Ji Feiyang, Wei Wei, Liu Yang, et al.</t>
        </is>
      </c>
      <c r="H96" s="2" t="inlineStr">
        <is>
          <t>Frontiers in Plant Science, 2018, 9: 816</t>
        </is>
      </c>
      <c r="I96" s="2" t="inlineStr">
        <is>
          <t>育种与遗传资源</t>
        </is>
      </c>
      <c r="J96" s="2" t="inlineStr">
        <is>
          <t>高密度遗传图谱构建与坚果性状QTL定位</t>
        </is>
      </c>
      <c r="K96" s="2" t="inlineStr">
        <is>
          <t>板栗；遗传图谱；GBS；SNP；QTL；坚果性状</t>
        </is>
      </c>
      <c r="L96" s="2" t="inlineStr">
        <is>
          <t>早熟品种'燕山早峰'（9月初成熟）×晚熟品种'官厅10号'（9月底成熟）杂交F1群体259株，定植于河北昌黎河北省农林科学院昌黎果树研究所板栗种质资源圃；2015、2016连续两年表型数据（每株30个坚果）</t>
        </is>
      </c>
      <c r="M96" s="2" t="inlineStr">
        <is>
          <t>GBS简化基因组测序（MseI+HaeIII双酶切，Illumina双端测序）；GATK变异检测与SNP过滤（卡方检验剔除偏分离标记）；JoinMap 4.0构建连锁图谱（Kosambi函数）；MapQTL 6.0区间作图法（IM）进行QTL分析（1000次置换检验确定LOD阈值，PVE≥15%为主效QTL）</t>
        </is>
      </c>
      <c r="N96" s="2" t="inlineStr">
        <is>
          <t>该研究以广泛栽培的早熟品种'燕山早峰'与晚熟品种'官厅10号'杂交的259株F1群体为材料，利用GBS构建了板栗高密度SNP遗传图谱：2620个SNP标记分布于12个连锁群（A-L），总长1078.06 cM，平均标记间距0.41 cM，为迄今栗属植物密度最高的遗传图谱。基于2015、2016两年表型数据，对单果重、果宽、果厚、果高和成熟期5个坚果性状共定位17个QTL（单果重3个、果厚2个、果宽5个、果高1个、成熟期6个），其中果厚QTL qNT-I-1和成熟期QTL qRP-B-1为主效QTL（解释表型变异≥15%）。发现LGI上23.97 cM处存在一因多效QTL，可同时控制单果重、果厚和果宽，两年间稳定表达。单果重与果厚（r=0.801）、果宽（r=0.825）、果高（r=0.659）极显著正相关；成熟期与果高弱相关（r=0.136）而与单果重等无关，且两年未检测到稳定成熟期QTL，果高和成熟期受环境影响较大。该高密度图谱和稳定QTL为板栗坚果大小与成熟期的分子标记辅助选择（MAS）育种、早熟大果品种选育提供了基准信息。</t>
        </is>
      </c>
      <c r="O96" s="2" t="inlineStr">
        <is>
          <t>F1群体259株；亲本间检出62,348个SNP位点（49,049个转换/颠换型SNP；A/G占35.86%、C/T占35.37%）；最终图谱2620个SNP标记、总长1078.06 cM、12个连锁群、平均间距0.41 cM（最短LGC 0.28 cM、最长LGL 0.69 cM）；17个QTL（SNW 3、NT 2、NW 5、NH 1、RP 6）；主效QTL：qNT-I-1（LGI 23.97 cM，PVE 12%-16%）、qRP-B-1（LGB 29.34 cM，PVE 15%）；LGI 23.97 cM一因多效位点同时控制SNW/NT/NW；单果重与果厚、果宽、果高相关系数0.801、0.825、0.659（均P&lt;0.01）；最长连锁群LGA 133.17 cM、最短LGF 33.22 cM</t>
        </is>
      </c>
      <c r="P96" s="2" t="inlineStr">
        <is>
          <t>为板栗大果、早熟品种的分子标记辅助选择育种提供高密度图谱和主效QTL标记资源；一因多效位点可用于同步改良单果重与果形，成熟期性状受环境影响大，早熟选育需结合多年多点表型鉴定。</t>
        </is>
      </c>
      <c r="Q96" s="3" t="inlineStr">
        <is>
          <t>中</t>
        </is>
      </c>
      <c r="R96" s="2" t="inlineStr"/>
      <c r="S96" s="2" t="inlineStr">
        <is>
          <t>板栗是分布广泛、经济价值重要的坚果树种，坚果大小和成熟期是其主要育种目标，但与坚果性状相关的高密度连锁图谱和QTL分析尚不完善，制约育种进展。研究利用两个广泛栽培品种'燕山早峰'×'官厅10号'的F1群体，通过GBS构建了基于SNP的高密度连锁图谱：2620个SNP标记，总长1078.06 cM，12个连锁群，平均标记距离0.41 cM。基于连续两年的表型数据，对单果重、果宽、果厚、果高和成熟期5个坚果性状鉴定出17个QTL，其中果厚qNT-I-1和成熟期qRP-B-1两个主效QTL被发掘。数据还揭示LGI上23.97 cM处存在可能同时控制单果重、果厚和果宽的一因多效QTL。该研究为板栗坚果大小和成熟期的高密度作图与QTL鉴定提供了有用基准信息，将加速板栗坚果分子标记辅助选择育种。</t>
        </is>
      </c>
    </row>
    <row r="97">
      <c r="A97" s="2" t="n">
        <v>96</v>
      </c>
      <c r="B97" s="2" t="inlineStr">
        <is>
          <t>096_2018_Effects of drying methods on the nutritional aspects, flavor, and processing properties of Chine.md</t>
        </is>
      </c>
      <c r="C97" s="2" t="inlineStr">
        <is>
          <t>2018</t>
        </is>
      </c>
      <c r="D97" s="2" t="inlineStr">
        <is>
          <t>英文</t>
        </is>
      </c>
      <c r="E97" s="2" t="inlineStr">
        <is>
          <t>Effects of drying methods on the nutritional aspects, flavor, and processing properties of Chinese chestnuts</t>
        </is>
      </c>
      <c r="F97" s="2" t="inlineStr">
        <is>
          <t>干燥方式对中国板栗营养成分、风味及加工特性的影响</t>
        </is>
      </c>
      <c r="G97" s="2" t="inlineStr">
        <is>
          <t>Le Zhang, Zhaogai Wang, Guanying Shi et al.</t>
        </is>
      </c>
      <c r="H97" s="2" t="inlineStr">
        <is>
          <t>Journal of Food Science and Technology, 55(9): 3391-3398</t>
        </is>
      </c>
      <c r="I97" s="2" t="inlineStr">
        <is>
          <t>加工与贮藏</t>
        </is>
      </c>
      <c r="J97" s="2" t="inlineStr">
        <is>
          <t>干制工艺与产品品质</t>
        </is>
      </c>
      <c r="K97" s="2" t="inlineStr">
        <is>
          <t>干燥方法；营养成分；风味物质；加工特性；微波真空干燥</t>
        </is>
      </c>
      <c r="L97" s="2" t="inlineStr">
        <is>
          <t>2016年河北省宽城县神栗公司提供的板栗50 kg，去壳去内衣栗仁初始含水率55.3%（湿基），切成5 mm薄片后分别用5种方式干燥</t>
        </is>
      </c>
      <c r="M97" s="2" t="inlineStr">
        <is>
          <t>5种干燥处理：自然干燥ND（15-20℃、4 d）、热风干燥HAD（55℃、10 h）、冷冻真空干燥FVD（-45℃、0.01 kPa、36 h）、微波干燥MD（420 W、15 min）、微波真空干燥MVD（35-45℃、-0.06 MPa、12 min）；蒽酮比色法测淀粉、凯氏定氮法测蛋白质、2,6-二氯靛酚滴定法测维生素C；TPA质地剖面分析、色差仪（Hunter L*a*b*）、复水试验；HS-SPME-GC-MS分析挥发性风味成分；SPSS方差分析（Tukey检验）</t>
        </is>
      </c>
      <c r="N97" s="2" t="inlineStr">
        <is>
          <t>干燥方式显著影响板栗干制品品质。冷冻真空干燥（FVD）产品的淀粉（44.75%）、还原糖（14.67%）、维生素C（69.72）和单宁（2.89%）含量在5种方式中最高，色泽最亮（L* 89.29）、复水性最好，检出28种风味物质，品质最优，但耗时36 h、能耗高，不适合工业化生产；微波真空干燥（MVD）品质仅次于FVD，且仅需12 min、能耗低，综合评价最适合板栗商业化脱水加工；热风干燥（HAD）营养损失最大（淀粉40.8%、VC 59.74），但产品硬度最高（790.55 N）、质地最佳；自然干燥品质最差（仅检出13种风味物质）。共鉴定出45种挥发性风味成分，MVD样品中3-乙基-2,5-二甲基吡嗪含量最高（21.93%），其余4种干燥方式中苯甲醇含量最高（27.03%-44.07%）。MVD兼具干燥速率快、能耗低和品质较好，是中国板栗商品化干制的最适方式。</t>
        </is>
      </c>
      <c r="O97" s="2" t="inlineStr">
        <is>
          <t>FVD淀粉44.75%、还原糖14.67%、VC 69.72、单宁2.89%均最高；HAD淀粉最低40.8%、VC 59.74；蛋白质7.48%-7.67%各处理差异小；硬度排序HAD 790.55 N &gt; FVD 623.90 &gt; ND 591.15 &gt; MD 521.10 &gt; MVD 262.20 N；复水比FVD最高、ND最低；色泽L*值FVD 89.29最高、MD 83.34最低；45种风味物质=5醛类+4醇类+4酯类+8萜类+16烃类+8其他；MVD中3-乙基-2,5-二甲基吡嗪占21.933%最高，其余处理苯甲醇最高（ND 36.622%、HAD 36.117%、FVD 44.069%、MD 27.029%）；风味物质数量FVD 28种、MD 27种、HAD 23种、MVD 21种、ND 13种</t>
        </is>
      </c>
      <c r="P97" s="2" t="inlineStr">
        <is>
          <t>指导板栗干制与栗粉加工选工艺：商业化首选微波真空干燥（快、节能、品质好），追求最高品质可用冻干；热风干燥适合需硬实质地的产品；为板栗粉作功能食品配料及风味开发提供依据。</t>
        </is>
      </c>
      <c r="Q97" s="4" t="inlineStr">
        <is>
          <t>高</t>
        </is>
      </c>
      <c r="R97" s="2" t="inlineStr"/>
      <c r="S97" s="2" t="inlineStr">
        <is>
          <t>为筛选适用于板栗食品加工的干燥工艺，本研究考察了自然干燥、微波干燥（MD）、热风干燥（HAD）、冷冻真空干燥（FVD）和微波真空干燥（MVD）5种干燥方式对干制板栗营养成分、风味和功能特性的影响。结果表明，与其他4种干燥方式相比，冷冻干燥工艺提升了板栗的营养成分和功能特性；微波真空干燥产品的品质仅次于冷冻干燥；热风干燥产品在功能成分含量和加工性能上与自然干燥样品相近；质地方面热风干燥最佳。共鉴定出45种风味成分，包括5种醛类、4种醇类、4种酯类、8种萜类、16种烃类和8种其他物质；微波真空干燥样品中相对含量最高的成分是吡嗪和3-乙基-2,5-二甲基吡嗪，其余4种干燥方式中苯甲醇含量最高。综合考虑干燥速率快、能耗低和产品品质好，微波真空干燥是中国板栗商业化生产最适宜的脱水方式。</t>
        </is>
      </c>
    </row>
    <row r="98">
      <c r="A98" s="2" t="n">
        <v>97</v>
      </c>
      <c r="B98" s="2" t="inlineStr">
        <is>
          <t>097_2018_Nutrient Status and Fruiting Response of YoungChinese Chestnut Trees Following Application ofNit.md</t>
        </is>
      </c>
      <c r="C98" s="2" t="inlineStr">
        <is>
          <t>2018</t>
        </is>
      </c>
      <c r="D98" s="2" t="inlineStr">
        <is>
          <t>英文</t>
        </is>
      </c>
      <c r="E98" s="2" t="inlineStr">
        <is>
          <t>Nutrient Status and Fruiting Response of Young Chinese Chestnut Trees Following Application of Nitrogen</t>
        </is>
      </c>
      <c r="F98" s="2" t="inlineStr">
        <is>
          <t>施氮对幼龄板栗树营养状况与结实反应的影响</t>
        </is>
      </c>
      <c r="G98" s="2" t="inlineStr">
        <is>
          <t>Michele R. Warmund</t>
        </is>
      </c>
      <c r="H98" s="2" t="inlineStr">
        <is>
          <t>Journal of the American Pomological Society, 72(1): 12-20</t>
        </is>
      </c>
      <c r="I98" s="2" t="inlineStr">
        <is>
          <t>栽培与土壤管理</t>
        </is>
      </c>
      <c r="J98" s="2" t="inlineStr">
        <is>
          <t>氮肥用量与叶片营养诊断</t>
        </is>
      </c>
      <c r="K98" s="2" t="inlineStr">
        <is>
          <t>板栗；施氮量；叶片营养诊断；坚果产量；调查范围</t>
        </is>
      </c>
      <c r="L98" s="2" t="inlineStr">
        <is>
          <t>美国密苏里州New Franklin园艺与农林研究中心（HARC），2009年定植的6年生嫁接'Peach'板栗（AU-Cropper实生砧，'Qing'为授粉树），株行距4×8 m，壤质粉砂土，9次重复随机区组</t>
        </is>
      </c>
      <c r="M98" s="2" t="inlineStr">
        <is>
          <t>2012-2015年连续4年设5个年施氮量（56、84、112、140、168 kg·hm-2，硝酸铵，4月1日和6月15日各半施入树冠滴水线下）；7月15日采集结果枝与不结果枝中部成熟叶，自动离子分析仪测全氮、ICP-OES测P、K、Ca、Mg、S、B、Fe、Cu、Mn、Mo、Zn；统计产量、单果重、干周与新梢生长量（GLIMMIX方差分析、正交对比）</t>
        </is>
      </c>
      <c r="N98" s="2" t="inlineStr">
        <is>
          <t>对幼龄'Peach'板栗连续4年施氮，累积坚果产量、结果数和树干周长随施氮量呈线性增加。施氮140和168 kg·hm-2的处理2014年起产量显著高于56和84 kg·hm-2处理，2012-2015年累积产量分别达7.3和7.4 kg/株（低氮仅5.0-5.1 kg/株），结果数464-483个；单果重（15.2-16.8 g）和新梢生长各处理无差异。按栗价10美元/kg计，3年净收益从56处理的14,920美元/ha增至168处理的21,576美元/ha，提高43%。累积产量最高树体叶片含氮2.23%-2.51%，建议以叶氮2.4%作为幼龄板栗园 maximizing 产量目标值；结果枝叶氮（1.97%）显著低于不结果枝（2.17%）。首次建立北美板栗叶片大量与微量元素调查范围（P 0.09-0.16%、K 0.36-0.63%等），为营养诊断提供基线；坚果每年带走N 9.3、P 1.3、K 6.2 kg·hm-2。</t>
        </is>
      </c>
      <c r="O98" s="2" t="inlineStr">
        <is>
          <t>施氮梯度56/84/112/140/168 kg·hm-2；2015年累积产量5.0/5.1/6.0/7.3/7.4 kg/株，结果数306/311/380/464/483个；单果重15.2-16.8 g无显著差异；2012-2015干周增加18.1/19.6/20.2/21.3/22.4 cm（线性P=0.0009）；高产树叶氮2.23%-2.51%；结果枝叶氮1.97% vs 不结果枝2.17%（P=0.001）；叶营养调查范围：P 0.09-0.16%、K 0.36-0.63%（密苏里），中国'早峰'栗叶N、B更低而Mg、Fe、Cu更高；3年净收益14,920/14,897/17,514/21,306/21,576美元/ha（最高比最低+43%）；168 kg处理坚果年带走N 9.3、P 1.3、K 6.2 kg·hm-2；土壤pH 6.1→6.0、有机质2.2%→2.3%</t>
        </is>
      </c>
      <c r="P98" s="2" t="inlineStr">
        <is>
          <t>为幼龄板栗园氮肥管理提供量化依据：年施纯氮140-168 kg/hm2、分春（4月）夏（6月）两次施用可显著增产增效43%；7月采叶测氮2.4%可作为施肥调整目标值，结合叶分析诊断树体营养并防缺钾。</t>
        </is>
      </c>
      <c r="Q98" s="4" t="inlineStr">
        <is>
          <t>高</t>
        </is>
      </c>
      <c r="R98" s="2" t="inlineStr"/>
      <c r="S98" s="2" t="inlineStr">
        <is>
          <t>由于缺乏基于研究的数据，北美中国板栗氮肥施用指南的制定一直受到制约。本研究以幼龄'Peach'中国板栗为材料，连续4年设置5个年施氮量（56、84、112、140、168 kg·hm-2），研究其对营养生长和结实的影响，并测定叶片氮及其他大量、微量元素含量，为北美栽培板栗建立调查范围。累积坚果产量、坚果数量和树干周长随施氮量增加而线性增加；年施氮量从56 kg·hm-2提高到168 kg·hm-2时，估算的3年坚果生产净收益提高43%。累积坚果产量最高树体在结果初期的叶片氮含量为2.23%-2.51%；磷（P）和钾（K）的调查范围分别为0.09%-0.16%和0.36%-0.63%。本文报道的'Peach'板栗叶片大量与微量元素调查范围为评价其营养状况提供了基线数据。</t>
        </is>
      </c>
    </row>
    <row r="99">
      <c r="A99" s="2" t="n">
        <v>98</v>
      </c>
      <c r="B99" s="2" t="inlineStr">
        <is>
          <t>098_2018_Signatures of Selection in the Genomes of Chinese Chestnut (Castanea mollissima Blume)_ The Root.md</t>
        </is>
      </c>
      <c r="C99" s="2" t="inlineStr">
        <is>
          <t>2018</t>
        </is>
      </c>
      <c r="D99" s="2" t="inlineStr">
        <is>
          <t>英文</t>
        </is>
      </c>
      <c r="E99" s="2" t="inlineStr">
        <is>
          <t>Signatures of Selection in the Genomes of Chinese Chestnut (Castanea mollissima Blume): The Roots of Nut Tree Domestication</t>
        </is>
      </c>
      <c r="F99" s="2" t="inlineStr">
        <is>
          <t>中国板栗（Castanea mollissima Blume）基因组中的选择信号：坚果树种驯化的根源</t>
        </is>
      </c>
      <c r="G99" s="2" t="inlineStr">
        <is>
          <t>Nicholas R. LaBonte, Peng Zhao, Keith Woeste</t>
        </is>
      </c>
      <c r="H99" s="2" t="inlineStr">
        <is>
          <t>Frontiers in Plant Science, 9:810</t>
        </is>
      </c>
      <c r="I99" s="2" t="inlineStr">
        <is>
          <t>基因组与基因家族</t>
        </is>
      </c>
      <c r="J99" s="2" t="inlineStr">
        <is>
          <t>群体基因组学与驯化选择信号</t>
        </is>
      </c>
      <c r="K99" s="2" t="inlineStr">
        <is>
          <t>板栗；驯化；选择清除；混池重测序；叶绿体单倍型；遗传多样性</t>
        </is>
      </c>
      <c r="L99" s="2" t="inlineStr">
        <is>
          <t>野生板栗混池：云南（2池）、陕西秦岭（3池）、贵州（1池）；果园板栗混池：陕西、河北、北京延庆及美国俄亥俄Empire Chestnut Company（北京种源），共10池约100株个体；另用17-18株果园板栗和2株美洲栗个体全基因组数据验证</t>
        </is>
      </c>
      <c r="M99" s="2" t="inlineStr">
        <is>
          <t>混池全基因组重测序（pool-seq，Illumina HiSeq2500，100 bp双端，约10x/池）；PoPoolation2计算Tajima's D与核苷酸多样性（10 kb窗口），置换检验鉴定选择清除；主等位基因频率固定法鉴定选择位点；AUGUSTUS基因预测+UniProt注释；叶绿体基因组单倍型分析；与桃、苹果、葡萄驯化区共线性比较</t>
        </is>
      </c>
      <c r="N99" s="2" t="inlineStr">
        <is>
          <t>利用pool-seq全基因组重测序研究板栗驯化的基因组印记。果园板栗全基因组Tajima's D均值（-0.64）低于野生（-0.50），超过100个10 kb区间在驯化与野生间显著分化，鉴定出约25个驯化候选位点和15个区域分化位点，候选位点杂合度和核苷酸多样性在板栗中显著降低。选择清除区富集开花时间与花发育基因（FLOWERING LOCUS C、FTIP1、POLLENLESS3/MS5、AGAMOUS、VRN1）、乙烯合成基因（ACO/ACS）、蔗糖合酶2、LEA脱水蛋白、花青素3-O-葡萄糖基转移酶2、多聚半乳糖醛酸酶、芽向重力性调控基因IDD15及MYB/bHLH转录因子等，涉及树形、育性、果皮色泽和贮藏耐性等驯化性状；11个清除区与桃、苹果、葡萄驯化区存在共线性（如蔗糖合酶2与苹果候选基因肽一致性90.9%）。叶绿体单倍型分析支持秦岭是板栗遗传多样性中心，美国栽培板栗种质的叶绿体单倍型主要源自中国南方。雄性育性等基因可用于培育短雄花序多雌花高产品种。</t>
        </is>
      </c>
      <c r="O99" s="2" t="inlineStr">
        <is>
          <t>果园板栗Tajima's D -0.64 vs 野生-0.50；&gt;100个10 kb区间显著分化（置换检验P&lt;0.01）；约25个驯化候选位点、15个区域分化位点（&gt;3标准差）；主等位基因频率果园0.693 vs 野生0.685；LGB蔗糖合酶2与苹果13号染色体驯化候选基因MDP0000859573肽序列一致性90.9%；11个清除区与苹果/桃/葡萄共线性；叶绿体参考单倍型频率：云南野生100%、贵州约60%、河北和美国俄亥俄果园约10%；'Clapper'型非参考单倍型（约260个SNP差异）在北方果园中占主导（河北约90%）；陕西秦岭野生群体叶绿体单倍型多样性最高；LGE肉桂酰CoA还原酶位点可能对应抗Phytophthora cinnamomi（樟疫霉）QTL</t>
        </is>
      </c>
      <c r="P99" s="2" t="inlineStr">
        <is>
          <t>为板栗分子育种提供靶基因线索（短雄花序多雌花高产品种、角质蜡与贮藏耐性、果园型树形），并明确秦岭为遗传多样性中心、美国种质源自中国南方，指导种质资源保护与利用；对种植者直接指导有限。</t>
        </is>
      </c>
      <c r="Q99" s="5" t="inlineStr">
        <is>
          <t>低</t>
        </is>
      </c>
      <c r="R99" s="2" t="inlineStr"/>
      <c r="S99" s="2" t="inlineStr">
        <is>
          <t>板栗是东亚和南欧的主要坚果作物，在温带坚果作物中独特之处在于其收获的种子富含淀粉而非油脂。板栗在中国已栽培三千余年，人工选择很可能已影响果园板栗的基因组。板栗驯化的遗传学也关系到美洲栗杂交育种，特别是板栗低矮、分枝的树形若部分由人工选择造成，将阻碍美洲栗恢复计划。我们对野生和果园来源的中国板栗进行了基因组重测序，基于混池全基因组SNP数据集鉴定了选择清除区，提出了板栗驯化的候选基因位点并讨论其潜在表型效应，其中一些基因可能对亚洲和北美的板栗改良有用。选择清除区包含与花发育物候、果实成熟和次生代谢相关的预测基因，还包括一些与其他木本植物驯化候选基因同源的基因。</t>
        </is>
      </c>
    </row>
    <row r="100">
      <c r="A100" s="2" t="n">
        <v>99</v>
      </c>
      <c r="B100" s="2" t="inlineStr">
        <is>
          <t>099_2018_深挖垦复对锥栗重要农艺性状及土壤理化性质的影响.md</t>
        </is>
      </c>
      <c r="C100" s="2" t="inlineStr">
        <is>
          <t>2018</t>
        </is>
      </c>
      <c r="D100" s="2" t="inlineStr">
        <is>
          <t>中文</t>
        </is>
      </c>
      <c r="E100" s="2" t="inlineStr">
        <is>
          <t>深挖垦复对锥栗重要农艺性状及土壤理化性质的影响</t>
        </is>
      </c>
      <c r="F100" s="2" t="inlineStr">
        <is>
          <t>深挖垦复对锥栗重要农艺性状及土壤理化性质的影响</t>
        </is>
      </c>
      <c r="G100" s="2" t="inlineStr">
        <is>
          <t>江锡兵，杨龙，吴聪连，章平生，龚榜初，赖俊声</t>
        </is>
      </c>
      <c r="H100" s="2" t="inlineStr">
        <is>
          <t>广西植物（Guihaia，DOI:10.11931/guihaia.gxzw201807034，ChinaXiv合作期刊）</t>
        </is>
      </c>
      <c r="I100" s="2" t="inlineStr">
        <is>
          <t>栽培与土壤管理</t>
        </is>
      </c>
      <c r="J100" s="2" t="inlineStr">
        <is>
          <t>林地深挖垦复与土壤改良</t>
        </is>
      </c>
      <c r="K100" s="2" t="inlineStr">
        <is>
          <t>锥栗；深挖垦复；土壤理化性质；结实能力；产量；营养品质</t>
        </is>
      </c>
      <c r="L100" s="2" t="inlineStr">
        <is>
          <t>浙江省庆元县屏都街道洋背村锥栗园（海拔350 m，黄壤，肥力较差，土壤板结严重），2006年春栽'早香栗'嫁接苗成林，栽植密度4 m×4 m；全垦与环垦2种处理各0.1 hm2，3次重复，2014年1月至2017年12月连续4年实施</t>
        </is>
      </c>
      <c r="M100" s="2" t="inlineStr">
        <is>
          <t>全垦（距树干1 m圆形区域以外全园深挖）和环垦（树冠滴水线处宽2 m环形带深挖），深挖深度40-50 cm，不垦复为对照；'S'形取样法采集0-30 cm和30-60 cm土样测含水率、容重、孔隙度、有机质、水解性氮、有效磷、速效钾、交换性钙镁及pH（LY/T系列标准）；测叶片表型（CI-202叶面积仪）、叶绿素、矿质元素；调查树体生长、结果性状、产量；蒽酮比色法测淀粉和可溶性糖；SAS 8.2 Duncan多重比较与Pearson相关分析</t>
        </is>
      </c>
      <c r="N100" s="2" t="inlineStr">
        <is>
          <t>连续4年深挖垦复显著改善锥栗林地土壤：0-30 cm土层土壤容重较垦复前降低31.21%以上（全垦35.46%、环垦31.21%），孔隙度提高28.37%-33.71%，土壤含水率较对照提高76.56%-108.65%，有机质（全垦+17.76%、环垦+40.59%）及水解性氮、有效磷、速效钾（为对照3倍以上）、交换性钙镁（约2倍）显著增加，pH升高；环垦区有机质、有效磷、交换性镁高于全垦区，保肥能力优于全垦。土壤供肥能力增强使叶片含水率（环垦57.18% vs 对照43.63%）、叶绿素、可溶性糖及矿质元素显著增加，光合能力提升；树体生长、结实、产量和品质同步提高，全垦和环垦单位面积产量分别为对照的1.75倍（0.21 kg/m2）和1.33倍（0.16 kg/m2），单果重、出籽率、可溶性糖及磷、钾含量显著高于对照，空苞率显著降低（13.06%/13.84% vs 17.00%）。深挖垦复是改良林地土壤、提高锥栗生产力的有效举措。</t>
        </is>
      </c>
      <c r="O100" s="2" t="inlineStr">
        <is>
          <t>0-30 cm土壤容重：垦复前1.41→全垦0.91、环垦0.97 g·cm-3（降低35.46%/31.21%），对照1.33 g·cm-3；含水率全垦25.10%、环垦21.24% vs 对照12.03%；孔隙度全垦66.04%、环垦63.40% vs 对照49.24%；有机质全垦20.2、环垦23.9 g/kg vs 对照18.6 g/kg（环垦较垦复前+40.59%，全垦+17.76%）；速效钾268/257 vs 对照75.4 mg·kg-1（3倍以上）；交换性镁142/148 vs 75.6 mg·kg-1（约2倍）；叶片含水率环垦57.18%、全垦51.10% vs 对照43.63%；比叶重全垦85.52 g/m2最高；产量全垦0.21 kg/m2（对照0.12，1.75倍）、环垦0.16（1.33倍）；空苞率13.06%/13.84% vs 对照17.00%；单果重11.59/11.17 g vs 10.18 g；出籽率39.18%/39.90% vs 38.53%；淀粉72.45%/72.08% vs 71.09%；可溶性糖7.82%/7.41% vs 7.08%；结果数498/456 vs 368个</t>
        </is>
      </c>
      <c r="P100" s="2" t="inlineStr">
        <is>
          <t>锥栗及板栗低产林改造可直接借鉴：山坡地成林采用全垦或环垦深挖40-50 cm并连续多年实施，可破除土壤板结、提升肥力和产量；以保肥为先选环垦，追求最高产量选全垦；垦复可显著降空苞率、提单果重与糖含量。</t>
        </is>
      </c>
      <c r="Q100" s="4" t="inlineStr">
        <is>
          <t>高</t>
        </is>
      </c>
      <c r="R100" s="2" t="inlineStr"/>
      <c r="S100" s="2" t="inlineStr">
        <is>
          <t>为探索锥栗林地高效的土壤管理方式，提升我国锥栗栽培管理技术水平，进而提高其产量、品质以及经济效益，该研究采用全垦和环垦2种方式对锥栗林地进行连续4年的深挖垦复，通过测定垦复前后土壤理化性质变化以及锥栗树体生长、叶片表型和生理特征、结果性状、产量及品质等重要农艺性状，统计数据并进行对比分析。结果表明：（1）深挖垦复对锥栗林地土壤理化性质改善效果显著，2种垦复方式土壤容重较垦复前降低31.21%及以上（0-30 cm处），土壤含水率、土壤孔隙度、有机质含量以及各种大量元素含量较垦复前和对照均有不同程度的增加，土壤肥力及其保水保肥能力显著增强；（2）环垦区土壤有机质含量、有效磷含量以及交换性镁含量高于全垦区，其土壤有机质含量较垦复前增加40.59%，远高于全垦增加幅度（17.76%），从土壤保肥能力的角度来看，环垦效果优于全垦；（3）土壤肥力的提升增强了其对锥栗叶片的供肥能力，使得叶片含水率、叶绿素含量以及各种矿质元素含量显著增加，从而提升其光合作用能力；（4）深挖垦复对锥栗树体生长、结实能力、产量及品质同样具有显著的提升效果，其中全垦和环垦区单位面积产量分别是对照的1.75倍和1.33倍，且栗苞总重、单果质量、出籽率、可溶性糖含量以及磷、钾元素含量显著高于对照，而空苞率显著低于对照。综上，深挖垦复是改良林地土壤和提高锥栗生产力的有效举措。</t>
        </is>
      </c>
    </row>
    <row r="101">
      <c r="A101" s="2" t="n">
        <v>100</v>
      </c>
      <c r="B101" s="2" t="inlineStr">
        <is>
          <t>100_2017_Identification and expression analysis of starch branching enzymes involved in starch synthesis .md</t>
        </is>
      </c>
      <c r="C101" s="2" t="inlineStr">
        <is>
          <t>2017</t>
        </is>
      </c>
      <c r="D101" s="2" t="inlineStr">
        <is>
          <t>英文</t>
        </is>
      </c>
      <c r="E101" s="2" t="inlineStr">
        <is>
          <t>Identification and expression analysis of starch branching enzymes involved in starch synthesis during the development of chestnut (Castanea mollissima Blume) cotyledons</t>
        </is>
      </c>
      <c r="F101" s="2" t="inlineStr">
        <is>
          <t>板栗子叶发育过程中淀粉合成相关淀粉分支酶的鉴定与表达分析</t>
        </is>
      </c>
      <c r="G101" s="2" t="inlineStr">
        <is>
          <t>Liangke Chen, Dan Lu, Teng Wang et al.</t>
        </is>
      </c>
      <c r="H101" s="2" t="inlineStr">
        <is>
          <t>PLoS ONE, 12(5): e0177792</t>
        </is>
      </c>
      <c r="I101" s="2" t="inlineStr">
        <is>
          <t>生理与分子机制</t>
        </is>
      </c>
      <c r="J101" s="2" t="inlineStr">
        <is>
          <t>果实淀粉合成与淀粉分支酶（SBE）基因</t>
        </is>
      </c>
      <c r="K101" s="2" t="inlineStr">
        <is>
          <t>板栗；淀粉分支酶；支链淀粉；基因表达；子叶发育</t>
        </is>
      </c>
      <c r="L101" s="2" t="inlineStr">
        <is>
          <t>北京怀柔区板栗试验站15年生'燕山红栗'（人工去雄套袋，盛花期用'怀久'授粉），授粉后60、64、68、71、74、77、80、83 DAP的子叶（去壳去胚），液氮速冻-80℃保存，3次重复</t>
        </is>
      </c>
      <c r="M101" s="2" t="inlineStr">
        <is>
          <t>RACE法克隆CmSBE I/II全长cDNA；native-PAGE碘染色酶谱（zymogram）鉴定SBE同工型；qRT-PCR与半定量PCR测表达（β-Actin内参）；Western blot（特异多肽抗体）与LC-MS/MS质谱验证蛋白；双波长分光光度法测直链/支链淀粉；SEM观察淀粉粒形态；RVA快速粘度仪测糊化特性</t>
        </is>
      </c>
      <c r="N101" s="2" t="inlineStr">
        <is>
          <t>板栗淀粉占坚果干重的46%-64%；发育子叶中总淀粉与支链淀粉同步积累，80 DAP（成熟）时支链淀粉占总淀粉76%（鲜重的31%），直链淀粉约占鲜重5%且全程恒定，支链/直链淀粉比由60 DAP的1.5倍升至80 DAP的3.2倍，表明总淀粉增加主要来自支链淀粉合成；糊化温度由72.63℃下降约4℃，发育后期淀粉更易糊化；&gt;30 μm2淀粉粒比例由12%增至42%。从子叶克隆了2个SBE基因：CmSBE I（ORF 2460 bp，编码820 aa，92.91 kDa，KY429029）和CmSBE II（ORF 2595 bp，865 aa，98.50 kDa，KY429028），均含E_set_GBE_euk_N、AmyAc_bac_euk_BE和Alpha-amylase_C三个保守结构域；两基因在子叶中表达量最高（比芽高19.9倍和38.4倍），表达自64 DAP上升，转录本分别于77和74 DAP达峰，SBE酶活性在74 DAP最高，蛋白约77 DAP大量积累。CmSBE主要促进支链淀粉合成、决定板栗糯性，可为高支链淀粉（糯性）品种选育提供分子依据。</t>
        </is>
      </c>
      <c r="O101" s="2" t="inlineStr">
        <is>
          <t>淀粉占坚果干重46%-64%；80 DAP支链淀粉占总淀粉76%（鲜重31%），直链淀粉约5%鲜重恒定；支链/直链比60 DAP 1.5倍→80 DAP 3.2倍；糊化温度72.63℃起下降约4℃；&gt;30 μm2淀粉粒比例12%→42%；CmSBE I ORF 2460 bp/820 aa/92.91 kDa（KY429029），CmSBE II ORF 2595 bp/865 aa/98.50 kDa（KY429028）；子叶表达比芽高19.9倍（SBE I）和38.4倍（SBE II）；基因表达77 DAP达峰、SBE活性74 DAP达峰；2014年中国板栗收获面积约29.7万hm2，占世界56%，产量占世界82%</t>
        </is>
      </c>
      <c r="P101" s="2" t="inlineStr">
        <is>
          <t>揭示板栗糯性的物质基础（成熟坚果支链淀粉占总淀粉约76%）及其关键酶SBE的调控窗口（授粉后64-80天），为高糯性炒食品种选育、辅助选择标记开发和栗粉加工品质控制提供理论依据。</t>
        </is>
      </c>
      <c r="Q101" s="3" t="inlineStr">
        <is>
          <t>中</t>
        </is>
      </c>
      <c r="R101" s="2" t="inlineStr"/>
      <c r="S101" s="2" t="inlineStr">
        <is>
          <t>中国板栗原产中国，广泛分布于干旱半干旱的贫瘠山区，是重要的多年生经济坚果和替代食物来源。淀粉是坚果中的主要代谢物，占板栗干重的46%~64%。坚果发育过程中总淀粉与支链淀粉的积累趋势相似，授粉后80天（DAP）支链淀粉占总淀粉含量的76%，总淀粉的增加主要源于支链淀粉的合成。在淀粉生物合成相关基因中，CmSBE（淀粉分支酶）在坚果发育过程中显著上调。通过酶谱分析从板栗子叶中鉴定出CmSBE I和CmSBE II两种同工型，二者在坚果发育过程中表达模式相似；两基因表达自64 DAP起升高并于77 DAP达最高水平，SBE活性在74 DAP达峰。结果表明CmSBE主要促进支链淀粉合成并影响发育子叶中支链淀粉含量，将有助于板栗种质选择与育种。</t>
        </is>
      </c>
    </row>
    <row r="102">
      <c r="A102" s="2" t="n">
        <v>101</v>
      </c>
      <c r="B102" s="2" t="inlineStr">
        <is>
          <t>不同品种板栗的营养价值和品质分析_王向红.md</t>
        </is>
      </c>
      <c r="C102" s="2" t="inlineStr">
        <is>
          <t>2004</t>
        </is>
      </c>
      <c r="D102" s="2" t="inlineStr">
        <is>
          <t>中文</t>
        </is>
      </c>
      <c r="E102" s="2" t="inlineStr">
        <is>
          <t>不同品种板栗的营养价值和品质分析</t>
        </is>
      </c>
      <c r="F102" s="2" t="inlineStr">
        <is>
          <t>不同品种板栗的营养价值和品质分析</t>
        </is>
      </c>
      <c r="G102" s="2" t="inlineStr">
        <is>
          <t>王向红、桑建新、张子德、蔺娜、史焱雷（河北农业大学食品学院；唐山市出入境检验检疫局）</t>
        </is>
      </c>
      <c r="H102" s="2" t="inlineStr">
        <is>
          <t>食品科技</t>
        </is>
      </c>
      <c r="I102" s="2" t="inlineStr">
        <is>
          <t>果实品质与营养</t>
        </is>
      </c>
      <c r="J102" s="2" t="inlineStr">
        <is>
          <t>果实营养成分分析与囊衣单宁评价</t>
        </is>
      </c>
      <c r="K102" s="2" t="inlineStr">
        <is>
          <t>板栗;营养成分;矿物元素;单宁;囊衣剥落</t>
        </is>
      </c>
      <c r="L102" s="2" t="inlineStr">
        <is>
          <t>唐山迁西县产4个板栗品种（燕红、燕山早丰、燕山魁栗、大叶青）的栗果及囊衣</t>
        </is>
      </c>
      <c r="M102" s="2" t="inlineStr">
        <is>
          <t>干燥法测水分;索氏提取法测脂肪;微量凯氏定氮法测蛋白质;直接滴定法测还原糖和总糖;酶水解法测淀粉;酸洗涤法测纤维素;重量法测果胶;快速络合滴定法测单宁;原子吸收分光光度法测Cu、Fe、Zn、Ca、Mg</t>
        </is>
      </c>
      <c r="N102" s="2" t="inlineStr">
        <is>
          <t>唐山迁西4个板栗品种营养成分相似但含量有差异：板栗含水量约49%~54%，干物质以淀粉为主（约占干物质40%），并含蛋白质4%~6%、脂肪0.4%~0.7%及较丰富的Cu、Fe、Zn、Ca、Mg等矿质元素。燕红的蛋白质、淀粉、总糖含量最高且果胶较低；燕山魁栗果胶含量很高；燕山早丰总糖和淀粉较高而蛋白质略低；大叶青各成分含量相对较低。Fe、Zn、Mg含量较高与迁西当地土壤特性有关。囊衣中单宁含量煮熟后下降33%以上（燕红下降51.38%），单宁含量影响板栗煮熟后囊衣是否易剥落，4品种中燕红煮熟后囊衣最易剥落，其次为燕山早丰、燕山魁栗和大叶青。</t>
        </is>
      </c>
      <c r="O102" s="2" t="inlineStr">
        <is>
          <t>燕红：水分53.02%、蛋白质5.53%、淀粉19.22%、总糖13.40%、还原糖未检出、果胶0.70%、纤维素0.65%;燕山魁栗：果胶4.37%最高、纤维素0.25%最低、总糖10.35%;燕山早丰：还原糖2.21%、果胶2.29%、纤维素2.40%最多;大叶青：总糖9.25%最低、纤维素1.95%;矿质元素(mg/100g干重)：Zn 46.31~58.13、Fe 12.52~16.09、Mg 15.92~28.13、Cu 4.41~10.31、Ca 0~4.80;囊衣单宁(mg/100g)：燕红生果9191.52→煮熟4468.48(下降51.38%)、燕山魁栗7333.85→4843.98(33.95%)、大叶青9728.81→6485.81(33.33%)、燕山早丰13614.10→8636.82(36.56%);煮熟后囊衣易剥顺序：燕红&gt;燕山早丰&gt;燕山魁栗&gt;大叶青</t>
        </is>
      </c>
      <c r="P102" s="2" t="inlineStr">
        <is>
          <t>为品种选择和加工去皮提供依据：鲜食甜糯宜选燕红、燕山早丰；煮熟处理可使囊衣单宁下降33%以上从而易剥落；囊衣单宁含量可作为评价板栗剥皮性的指标，助消费者和加工企业判断品质。</t>
        </is>
      </c>
      <c r="Q102" s="4" t="inlineStr">
        <is>
          <t>高</t>
        </is>
      </c>
      <c r="R102" s="2" t="inlineStr"/>
      <c r="S102" s="2" t="inlineStr">
        <is>
          <t>采用常规的分析方法，以唐山产4个不同品种的板栗为原料，对其营养成分和囊衣中的单宁含量进行了分析。结果表明，板栗含有大量的水分，干物质中以淀粉为主，其次是有一定量的可溶性糖、蛋白质、脂肪和果胶、纤维素以及较为丰富的Cu、Fe、Zn、Ca、Mg等营养元素，不同品种的板栗其淀粉、总糖、果胶、纤维素和矿物质元素的含量有一定的差别。另外，板栗囊衣中单宁含量的测定也说明，单宁在板栗煮熟前后对板栗中薄膜是否容易剥落有一定影响，直接影响着板栗的品质。</t>
        </is>
      </c>
    </row>
    <row r="103">
      <c r="A103" s="2" t="n">
        <v>102</v>
      </c>
      <c r="B103" s="2" t="inlineStr">
        <is>
          <t>中国板栗238份品种(系)叶片形态、解剖结构及其抗旱性评价_郭燕.md</t>
        </is>
      </c>
      <c r="C103" s="2" t="inlineStr">
        <is>
          <t>2020</t>
        </is>
      </c>
      <c r="D103" s="2" t="inlineStr">
        <is>
          <t>中文</t>
        </is>
      </c>
      <c r="E103" s="2" t="inlineStr">
        <is>
          <t>中国板栗238份品种（系）叶片形态、解剖结构及其抗旱性评价</t>
        </is>
      </c>
      <c r="F103" s="2" t="inlineStr">
        <is>
          <t>中国板栗238份品种（系）叶片形态、解剖结构及其抗旱性评价</t>
        </is>
      </c>
      <c r="G103" s="2" t="inlineStr">
        <is>
          <t>郭燕、张树航、李颖、张馨方、王广鹏（河北省农林科学院昌黎果树研究所）</t>
        </is>
      </c>
      <c r="H103" s="2" t="inlineStr">
        <is>
          <t>园艺学报</t>
        </is>
      </c>
      <c r="I103" s="2" t="inlineStr">
        <is>
          <t>育种与遗传资源</t>
        </is>
      </c>
      <c r="J103" s="2" t="inlineStr">
        <is>
          <t>抗旱性评价与种质资源</t>
        </is>
      </c>
      <c r="K103" s="2" t="inlineStr">
        <is>
          <t>板栗;叶片形态;解剖结构;气孔特征;隶属函数法;抗旱性评价</t>
        </is>
      </c>
      <c r="L103" s="2" t="inlineStr">
        <is>
          <t>河北省农林科学院昌黎果树研究所种质资源圃内原产中国12个省市的238份板栗品种（系）（2004年统一嫁接于3年生燕山早丰实生砧木上）的成熟叶片</t>
        </is>
      </c>
      <c r="M103" s="2" t="inlineStr">
        <is>
          <t>多功能图像分析法测叶片形态;指甲油印记法观测气孔;冷冻切片法观测叶片解剖结构;变异系数分析;主成分分析（累计贡献率≥85%）;隶属函数法综合评价;系统聚类分析</t>
        </is>
      </c>
      <c r="N103" s="2" t="inlineStr">
        <is>
          <t>对12省市238份板栗品种（系）33项叶片形态、解剖及气孔指标分析，其中27项变异系数大于10%；经主成分分析筛选出叶片厚度、叶片厚度/叶面积、叶绿素参考值、栅栏组织厚度、气孔密度、单位面积气孔总周长、叶柄长/宽、叶片长/宽、叶片宽和上表皮厚度10项抗旱性典型评价指标，除叶片宽与抗旱性负相关外，其余9项均正相关。抗旱性强品种表现为叶片窄长、叶柄长/宽大、叶片厚、栅栏组织厚、气孔密度大、叶色深绿。隶属函数法结合聚类将238份品种（系）分为4类：抗旱性极强31份（平均隶属值0.60~0.80）、强48份（0.50~0.59）、中84份（0.30~0.49）、弱75份（0.20~0.29），为板栗品种区划、抗旱育种亲本选择提供依据。</t>
        </is>
      </c>
      <c r="O103" s="2" t="inlineStr">
        <is>
          <t>板栗气孔仅分布于叶片下表皮，椭圆形，由2个肾形保卫细胞构成;平均气孔密度933.56个/mm²、气孔长22.72 μm、宽21.69 μm;上表皮角质层平均厚5.82 μm，厚于苹果(3.25 μm)和文冠果(5.13 μm);叶片均为异面叶，栅栏组织2~3层;前5个主成分累计贡献率89.18%;抗旱性分级：极强31份(0.60~0.80)、强48份(0.50~0.59)、中84份(0.30~0.49)、弱75份(0.20~0.29);燕龙、大板红、燕奎抗旱性强，燕山早丰、紫珀中等，燕红较弱（与郭素娟等2018、郑龙等2015结果一致）</t>
        </is>
      </c>
      <c r="P103" s="2" t="inlineStr">
        <is>
          <t>山区干旱缺水果园可依据抗旱性分级选择品种（如燕奎、大板红抗旱性强，燕红较弱），抗旱育种可利用极强类种质作亲本；10项叶片指标+隶属函数法可低成本快速初评新品种抗旱性。</t>
        </is>
      </c>
      <c r="Q103" s="3" t="inlineStr">
        <is>
          <t>中</t>
        </is>
      </c>
      <c r="R103" s="2" t="inlineStr"/>
      <c r="S103" s="2" t="inlineStr">
        <is>
          <t>采用多功能图像分析法、冷冻切片法和指甲油印记法，对238份板栗品种（系）叶片的形态、解剖结构及气孔特征进行了观察测量，运用变异系数、主成分分析对33项指标进行了筛选，后运用隶属函数法进行抗旱性综合评价。结果表明：（1）238份板栗品种（系）33项指标中除上表皮角质层厚度、上表皮细胞宽度、第一层栅栏组织细胞密度、第一层栅栏组织细胞宽、下表皮细胞宽度和下表皮角质层厚等6项指标的变异系数小于10%，各品种系（间）差异较小外，其余27项指标的变异系数均大于10%，在各品种（系）间差异较大；经主成分分析从27项指标中筛选出10项作为238份板栗品种（系）抗旱性综合评价的典型指标。（2）利用隶属函数分析将238份品种（系）划分为4类：第Ⅰ类包括31个品种（系），平均隶属值为0.60~0.80，抗旱性极强；第Ⅱ类包括48个品种（系），平均隶属值为0.50~0.59，抗旱性强；第Ⅲ类包括84个品种（系），平均隶属值为0.30~0.49，抗旱性中；第Ⅳ类包括75个品种（系），平均隶属值为0.20~0.29，抗旱性弱。</t>
        </is>
      </c>
    </row>
    <row r="104">
      <c r="A104" s="2" t="n">
        <v>103</v>
      </c>
      <c r="B104" s="2" t="inlineStr">
        <is>
          <t>中国板栗地方品种重要农艺性状的表型多样性_江锡兵.md</t>
        </is>
      </c>
      <c r="C104" s="2" t="inlineStr">
        <is>
          <t>2014</t>
        </is>
      </c>
      <c r="D104" s="2" t="inlineStr">
        <is>
          <t>中文</t>
        </is>
      </c>
      <c r="E104" s="2" t="inlineStr">
        <is>
          <t>中国板栗地方品种重要农艺性状的表型多样性</t>
        </is>
      </c>
      <c r="F104" s="2" t="inlineStr">
        <is>
          <t>中国板栗地方品种重要农艺性状的表型多样性</t>
        </is>
      </c>
      <c r="G104" s="2" t="inlineStr">
        <is>
          <t>江锡兵、龚榜初、刘庆忠、陈新、吴开云、邓全恩、汤丹（中国林业科学院亚热带林业研究所；山东省果树研究所）</t>
        </is>
      </c>
      <c r="H104" s="2" t="inlineStr">
        <is>
          <t>园艺学报</t>
        </is>
      </c>
      <c r="I104" s="2" t="inlineStr">
        <is>
          <t>育种与遗传资源</t>
        </is>
      </c>
      <c r="J104" s="2" t="inlineStr">
        <is>
          <t>地方品种表型多样性评价</t>
        </is>
      </c>
      <c r="K104" s="2" t="inlineStr">
        <is>
          <t>板栗;地方品种;农艺性状;表型多样性</t>
        </is>
      </c>
      <c r="L104" s="2" t="inlineStr">
        <is>
          <t>山东省果树研究所国家板栗资源圃（泰安）中来自中国10个省（市）的90个板栗地方品种的叶片和成熟坚果（2012、2013年采集）</t>
        </is>
      </c>
      <c r="M104" s="2" t="inlineStr">
        <is>
          <t>巢式设计方差分析;变异系数与表型分化系数(VST)分析;Duncan多重比较;最短距离法聚类分析;蒽酮比色法测淀粉和可溶性糖;国标法测总蛋白和钙，共测定12个农艺性状</t>
        </is>
      </c>
      <c r="N104" s="2" t="inlineStr">
        <is>
          <t>对10省90个板栗地方品种12个重要农艺性状的表型多样性分析表明：各性状在群体内和群体间差异均达极显著水平，存在广泛变异；叶片表型、坚果表型及坚果品质性状平均变异系数分别为7.7%、4.4%和6.8%，坚果表型性状遗传稳定性最高（果形指数、坚果长度变异系数仅2.8%）。群体间表型分化系数平均23.42%，远小于群体内变异（76.58%），群体内变异是主要变异来源。南方群体（安徽、浙江）坚果大小、单果质量最大（浙江单果质量12.85 g），北方群体（北京、河北、山东、陕西）坚果较小；坚果品质以北京、陕西群体最优，北方板栗品质明显优于南方。陕西、河北、浙江群体变异系数最大，可能是板栗表型多样性中心。聚类将10个群体分为4大类，多数群体按地理距离聚类。</t>
        </is>
      </c>
      <c r="O104" s="2" t="inlineStr">
        <is>
          <t>浙江群体坚果长30.87 mm、宽34.10 mm、单果质量12.85 g，为大果型;北京、河北、山东、陕西为小果型品种群;群体间F值：坚果长度37.54最大、叶柄长度24.65、果形指数仅3.14;叶柄长度平均变异系数13.7%最大，坚果长度和果形指数仅2.8%最小;淀粉含量：陕西29.58%、北京27.21%最高，河南20.14%最低;钙含量：北京985.1 mg/kg最高，浙江684.6 mg/kg最低;单果质量群体间F值23.71;群体内变异占76.58%，表型分化系数均值23.42%;陕西、河北、浙江平均变异系数8.1%、7.2%、7.1%最大，安徽5.2%最小;高淀粉品种：灰拣40.59%、迁安37.06%、八月红36.27%、燕红30.92%;大果品种：大公书4号19.22 g、中明栗19.11 g、短枝板红18.20 g</t>
        </is>
      </c>
      <c r="P104" s="2" t="inlineStr">
        <is>
          <t>为引种和育种提供依据：追求大果型可选安徽、浙江来源品种；注重淀粉、糖、蛋白、钙等品质宜选北京、陕西来源品种；坚果表型性状稳定可用于品种鉴定；群体内单株选择潜力大于群体间。</t>
        </is>
      </c>
      <c r="Q104" s="3" t="inlineStr">
        <is>
          <t>中</t>
        </is>
      </c>
      <c r="R104" s="2" t="inlineStr"/>
      <c r="S104" s="2" t="inlineStr">
        <is>
          <t>采用巢式设计方差分析、聚类分析等方法，对中国10个省份90个板栗地方品种叶片表型、坚果表型及品质12个重要农艺性状进行多样性分析。结果表明：（1）板栗12个农艺性状在群体内和群体间差异均达到极显著水平，说明其在群体内和群体间均存在广泛变异；（2）叶片表型性状、坚果表型性状及坚果品质性状的平均变异系数分别为7.7%、4.4%和6.8%，表明坚果表型性状遗传稳定性高于叶片表型及坚果品质性状；（3）群体间表型分化系数VST均值为23.42%，远远小于群体内变异（76.58%），群体内变异是其主要的变异来源；（4）利用群体间最小距离进行聚类分析，将10个板栗群体分为4大类，反映不同地理群体板栗表型多样性存在差异。</t>
        </is>
      </c>
    </row>
    <row r="105">
      <c r="A105" s="2" t="n">
        <v>104</v>
      </c>
      <c r="B105" s="2" t="inlineStr">
        <is>
          <t>基于主成分及聚类分析的板栗品质综合评价_于艳奇.md</t>
        </is>
      </c>
      <c r="C105" s="2" t="inlineStr">
        <is>
          <t>2025</t>
        </is>
      </c>
      <c r="D105" s="2" t="inlineStr">
        <is>
          <t>中文</t>
        </is>
      </c>
      <c r="E105" s="2" t="inlineStr">
        <is>
          <t>基于主成分及聚类分析的板栗品质综合评价</t>
        </is>
      </c>
      <c r="F105" s="2" t="inlineStr">
        <is>
          <t>基于主成分及聚类分析的板栗品质综合评价</t>
        </is>
      </c>
      <c r="G105" s="2" t="inlineStr">
        <is>
          <t>于艳奇、杨明源、吕春茂、白绍赐、张群芳、邹晨阳、姜晗（沈阳农业大学食品学院）</t>
        </is>
      </c>
      <c r="H105" s="2" t="inlineStr">
        <is>
          <t>食品工业科技</t>
        </is>
      </c>
      <c r="I105" s="2" t="inlineStr">
        <is>
          <t>果实品质与营养</t>
        </is>
      </c>
      <c r="J105" s="2" t="inlineStr">
        <is>
          <t>果实品质综合评价与加工适宜性分类</t>
        </is>
      </c>
      <c r="K105" s="2" t="inlineStr">
        <is>
          <t>板栗;品质评价;主成分分析;熵权法;灰色关联度分析;聚类分析</t>
        </is>
      </c>
      <c r="L105" s="2" t="inlineStr">
        <is>
          <t>辽宁丹东、河北迁西、河北昌黎3个板栗主产区的25个板栗品种（含当地、金华、9113、利平、丹栗1号、qC/qX/qD系列、C-23、C-65、燕晶、燕兴、燕2号、燕栗1号、燕山早丰、昌黎105等）成熟坚果</t>
        </is>
      </c>
      <c r="M105" s="2" t="inlineStr">
        <is>
          <t>21项品质指标测定（色差仪测色度;CT3-10K质构仪测硬度;直接干燥法测水分;蒽酮硫酸比色法测可溶性糖;DNS法测还原糖;考马斯亮蓝法测可溶性蛋白;试剂盒测总淀粉、直链淀粉）;主成分分析结合相关性与描述性统计筛选核心指标;熵权法赋权;灰色关联度分析;Ward法系统聚类</t>
        </is>
      </c>
      <c r="N105" s="2" t="inlineStr">
        <is>
          <t>以北方3个主产区25个板栗品种为材料测定21项品质指标，经主成分分析结合相关性、描述性统计筛选出水分、直链/支链淀粉比值（AA）、总黄酮、好果率、果形指数、硬度、可溶性糖和还原糖8项核心评价指标，熵权法权重依次为14.08%、14.64%、15.64%、7.74%、9.41%、9.11%、18.90%和10.48%；建立灰色关联度评价模型，丹栗1号、丹东9113和qX-005综合品质列前三位（关联度均大于0.7）。聚类分析将25个品种分为4类：第一类（丹东5品种）单果重、水分、总酚、总黄酮、可溶性糖高，宜开发功能性饮品；第二类（6品种）出仁率、直链淀粉高，宜取仁加工罐头、果脯或板栗粉；第三类（6品种，均昌黎）糯性强，是优质食品原料；第四类（8品种，均迁西）果小圆润、可溶性固形物高，适宜炒食和直售坚果。</t>
        </is>
      </c>
      <c r="O105" s="2" t="inlineStr">
        <is>
          <t>综合品质前三位：丹栗1号(关联度0.773)、丹东9113(0.730)、qX-005(0.717);核心指标权重：可溶性糖18.90%、总黄酮15.64%、AA 14.64%、水分14.08%、还原糖10.48%、果形指数9.41%、硬度9.11%、好果率7.74%;淀粉含量68.78%~85.25%(平均76.03%干重)，9113最高且支链淀粉48.66%最高，昌黎105最低;可溶性糖12.80%~39.89%，qX-001最高;可溶性固形物13.53~38.80°Brix;脂肪0.20%~13.70%，C-23最高13.70%、金华最低0.20%，丹东品种脂肪显著低于其他地区;总酚0.52~1.19 mg/g、总黄酮0.76~1.95 mg/g，燕兴最高;硬度18.28~27.23 N，燕兴最大(宜炒食)、金华最小;单果重4.52~23.63 g，金华最大;好果率77.67%~97.67%(平均91.27%)，出仁率77.41%~86.91%(平均81.79%)，水分35.64%~62.58%;AA为64.43~132.05，AA越小糯性越强</t>
        </is>
      </c>
      <c r="P105" s="2" t="inlineStr">
        <is>
          <t>为加工企业选料和种植者品种布局提供直接依据：炒食与直售宜选迁西类小果高糖品种，功能性饮品开发宜选丹东类高糖高酚品种，罐头、果脯、栗粉加工宜选高出仁率高直链淀粉品种，实现板栗品种加工专用化。</t>
        </is>
      </c>
      <c r="Q105" s="4" t="inlineStr">
        <is>
          <t>高</t>
        </is>
      </c>
      <c r="R105" s="2" t="inlineStr"/>
      <c r="S105" s="2" t="inlineStr">
        <is>
          <t>为建立一种适宜的板栗资源果实品质评价方法，本研究以25个板栗品种为研究对象，选取21项品质指标进行测定，通过主成分分析结合相关性分析、描述性统计分析的方法筛选影响板栗品质的核心评价指标，基于熵权法对核心指标赋予权重，并建立灰色关联度评价模型。结果表明，不同品种板栗多项指标存在显著差异（P&lt;0.05），且多个指标间存在显著相关性，主成分分析确立了水分、直链淀粉与支链淀粉含量的比值（AA）、总黄酮、好果率、果形指数、硬度、可溶性糖和还原糖为核心指标，熵权法计算核心指标的权重分别为14.08%、14.64%、15.64%、7.74%、9.41%、9.11%、18.90%、10.48%。灰色关联度分析结果表明，丹栗1号、丹东9113和qX-005综合品质列前三位。经聚类分析将25个品种板栗分为4类，第一类板栗适宜开发功能性饮品；第二类板栗适合取仁加工，制作罐头、果脯等产品，或加工成板栗粉用于面包、饼干等产品的制作；第三类板栗可作为优质的食品原料；第四类板栗适宜炒食，也适宜作为直售坚果。</t>
        </is>
      </c>
    </row>
    <row r="106">
      <c r="A106" s="2" t="n">
        <v>105</v>
      </c>
      <c r="B106" s="2" t="inlineStr">
        <is>
          <t>密植板栗树光合特性的研究_彭方仁.md</t>
        </is>
      </c>
      <c r="C106" s="2" t="inlineStr">
        <is>
          <t>1997</t>
        </is>
      </c>
      <c r="D106" s="2" t="inlineStr">
        <is>
          <t>中文</t>
        </is>
      </c>
      <c r="E106" s="2" t="inlineStr">
        <is>
          <t>密植板栗树光合特性的研究</t>
        </is>
      </c>
      <c r="F106" s="2" t="inlineStr">
        <is>
          <t>密植板栗树光合特性的研究</t>
        </is>
      </c>
      <c r="G106" s="2" t="inlineStr">
        <is>
          <t>彭方仁、黄宝龙（南京林业大学森林资源与环境学院）</t>
        </is>
      </c>
      <c r="H106" s="2" t="inlineStr">
        <is>
          <t>浙江林学院学报</t>
        </is>
      </c>
      <c r="I106" s="2" t="inlineStr">
        <is>
          <t>生理与分子机制</t>
        </is>
      </c>
      <c r="J106" s="2" t="inlineStr">
        <is>
          <t>密植园叶片光合生理特性</t>
        </is>
      </c>
      <c r="K106" s="2" t="inlineStr">
        <is>
          <t>板栗;光合作用;密植;光补偿点;光饱和点;净光合速率</t>
        </is>
      </c>
      <c r="L106" s="2" t="inlineStr">
        <is>
          <t>江苏省新沂市沐河果园8年生板栗密植试验园（主栽品种九家种，栽植密度2m×3m，1987年嫁接建园，冲积平原土壤肥力中等）树冠中上部叶片</t>
        </is>
      </c>
      <c r="M106" s="2" t="inlineStr">
        <is>
          <t>GH-Ⅲ型光合仪田间测定净光合速率(4~10月每月测定，06:00~18:00每小时1次);Li-cor185B光合量子辐射仪测光合有效辐射(PAR);干湿球通风表测气温和相对湿度;纱布遮光法测定光响应曲线;逐步回归与多项式回归分析</t>
        </is>
      </c>
      <c r="N106" s="2" t="inlineStr">
        <is>
          <t>对江苏新沂8年生、2m×3m密植'九家种'板栗园的光合特性研究表明：叶片光补偿点为40~50 μmol·s⁻¹·m⁻²，光饱和点为800~900 μmol·s⁻¹·m⁻²；净光合速率日变化在生长初期和末期为单峰曲线，生长盛期（6~8月）为双峰曲线并出现中午'午休'低谷（11:00~15:00）；光合速率年变化亦呈双峰曲线，高峰分别出现在开花期（5月）和果实速生期（8月）。净光合速率一般为4~10 mg·dm⁻²·h⁻¹，明显低于苹果（10~30）和西洋梨（10~23），可能是板栗经济产量较低的原因之一。光合有效辐射是制约光合速率的最显著因子；2m×3m密植园树冠内膛光照大部分时间不足光饱和点的一半，限制光合生产，应通过修剪改善冠内光照、夏季灌溉防止午休。</t>
        </is>
      </c>
      <c r="O106" s="2" t="inlineStr">
        <is>
          <t>光补偿点40~50 μmol·s⁻¹·m⁻²，光饱和点800~900 μmol·s⁻¹·m⁻²;日变化：生长初期和末期单峰曲线（高峰11:00~12:00，10月峰值687 mg·dm⁻²·h⁻¹低于5月）;生长盛期双峰曲线：第一峰8:00~10:00（784~1048 mg·dm⁻²·h⁻¹，8月18日最大1048），第二峰15:00~16:00（476~681），午休低谷11:00~15:00（194~312）;年变化双峰：5月16日517 mg·dm⁻²·h⁻¹（第一峰，日均）、7月中旬低谷、8月第二峰（8月18日日均5.98）;各期日均Pn(mg·dm⁻²·h⁻¹)：4月26日3.15、5月16日5.17、6月22日5.05、7月20日3.85、8月18日5.98、9月17日4.23、10月24日2.87;板栗Pn 4~10 mg·dm⁻²·h⁻¹明显低于苹果10~30和西洋梨10~23;逐步回归y=34.251+0.09851x(R=0.7624)，PAR为最显著因子;2m×3m密植园冠外围日均超光饱和点光照4~6 h，冠中部和内膛大部分时间PAR不足光饱和点一半</t>
        </is>
      </c>
      <c r="P106" s="2" t="inlineStr">
        <is>
          <t>指导密植板栗园管理：春季促叶片早形成、秋季保叶补肥以利用开花期和果实速生期两个光合高峰；夏季及时灌溉降温防止光合'午休'；通过整形修剪和控制栽植密度改善内膛光照，提高光能利用率与产量。</t>
        </is>
      </c>
      <c r="Q106" s="4" t="inlineStr">
        <is>
          <t>高</t>
        </is>
      </c>
      <c r="R106" s="2" t="inlineStr"/>
      <c r="S106" s="2" t="inlineStr">
        <is>
          <t>对8年生密植板栗园"九家种"品种树木叶片光合作用特性研究结果表明：①光合作用的光补偿点和光饱和点分别为40~50 μmol·s⁻¹·m⁻²和800~900 μmol·s⁻¹·m⁻²；②净光合速率的日变化进程在生长初期和生长末期为单峰曲线，而在生长盛期（6~8月）为双峰曲线；③光合速率的年变化进程也表现为双峰曲线，其高峰分别出现在开花期及果实速生期；④叶片的光合速率直接受光合有效辐射的制约，同时还受气温和空气相对湿度的影响。</t>
        </is>
      </c>
    </row>
    <row r="107">
      <c r="A107" s="2" t="n">
        <v>106</v>
      </c>
      <c r="B107" s="2" t="inlineStr">
        <is>
          <t>我国板栗产业发展现状及策略_易善军.md</t>
        </is>
      </c>
      <c r="C107" s="2" t="inlineStr">
        <is>
          <t>2017</t>
        </is>
      </c>
      <c r="D107" s="2" t="inlineStr">
        <is>
          <t>中文</t>
        </is>
      </c>
      <c r="E107" s="2" t="inlineStr">
        <is>
          <t>我国板栗产业发展现状及策略</t>
        </is>
      </c>
      <c r="F107" s="2" t="inlineStr">
        <is>
          <t>我国板栗产业发展现状及策略</t>
        </is>
      </c>
      <c r="G107" s="2" t="inlineStr">
        <is>
          <t>易善军（国家林业局林产工业规划设计院，北京100010）</t>
        </is>
      </c>
      <c r="H107" s="2" t="inlineStr">
        <is>
          <t>西部林业科学，2017，46(5)：132-135</t>
        </is>
      </c>
      <c r="I107" s="2" t="inlineStr">
        <is>
          <t>产业发展与经济</t>
        </is>
      </c>
      <c r="J107" s="2" t="inlineStr">
        <is>
          <t>产业发展</t>
        </is>
      </c>
      <c r="K107" s="2" t="inlineStr">
        <is>
          <t>板栗;发展现状;发展策略;贮藏加工;贸易</t>
        </is>
      </c>
      <c r="L107" s="2" t="inlineStr">
        <is>
          <t>中国板栗产业整体（生产、贮藏、加工、贸易），2005-2015年全国及主产省统计数据与FAO贸易数据</t>
        </is>
      </c>
      <c r="M107" s="2" t="inlineStr">
        <is>
          <t>统计数据分析（中国林业统计年鉴、联合国粮农组织FAO数据库）；产业现状综述；问题诊断；对策建议</t>
        </is>
      </c>
      <c r="N107" s="2" t="inlineStr">
        <is>
          <t>中国是世界板栗第一生产大国，种植面积和产量均居世界第一。2005-2015年全国板栗收获面积由1.85×10^5 hm2增至2.97×10^5 hm2（约占世界56%），总产量由1.03×10^6 t增至2.34×10^6 t（约占世界80%），年均增长率8.54%；产量前四位省份为湖北、河北、山东、云南。但产业存在三大问题：良种化、标准化程度低且管理粗放，部分栗农仍用实生苗繁殖；贮藏方法不科学、加工水平低，机械化剥壳脱皮率远低于韩国、意大利等国；品牌意识淡薄且保护不力。出口量仅占总产量1.83%，国际市场潜力巨大。对策：定向培育抗褐变、抗病虫良种并推广标准化种植；引进新式贮藏法、加快冷藏库建设、发展深加工和高附加值产品；打造绿色板栗品牌开拓国际市场。</t>
        </is>
      </c>
      <c r="O107" s="2" t="inlineStr">
        <is>
          <t>2015年全国板栗收获面积2.97×10^5 hm2约占世界56%，总产量2.34×10^6 t约占世界80%；2005-2015年总产量由1.03×10^6 t增至2.34×10^6 t，增长1.27倍，年均增长率8.54%；2015年产量超2×10^5 t的省份：湖北4.12×10^5 t、河北3.28×10^5 t、山东3.13×10^5 t、云南2.0×10^5 t，10个主产省产量占全国83.29%；贵州为增速最快省份，2005年1.23×10^4 t增至2015年5.80×10^4 t，年均增长16.79%；截至2014年底全国规模以上板栗加工企业410家，年加工量约3.01×10^5 t，年加工产值约4.62×10^9元，年产值千万元以上企业59个；2013年中国板栗出口3.91×10^4 t、出口额8.44×10^7美元，占世界31.23%和22.01%，为第一大出口国，出口量仅占总产量1.83%；2013年进口1.18×10^4 t，为第二大进口国，韩国占进口总量88.19%；韩、意等国板栗剥壳去衣机脱皮率达92%-96%，我国多以人工剥壳为主；国内知名品牌仅迁西板栗、泰山板栗、紫玉等少数，天津甘栗商标已被日本企业注册</t>
        </is>
      </c>
      <c r="P107" s="2" t="inlineStr">
        <is>
          <t>为板栗产业升级提供数据支撑与路径：推广良种化和标准化种植、发展现代贮藏保鲜与深加工、打造绿色品牌开拓国际市场，可供政府规划、企业经营和栗农组织化生产决策参考。</t>
        </is>
      </c>
      <c r="Q107" s="4" t="inlineStr">
        <is>
          <t>高</t>
        </is>
      </c>
      <c r="R107" s="2" t="inlineStr"/>
      <c r="S107" s="2" t="inlineStr">
        <is>
          <t>从板栗生产、贮藏、加工、贸易等方面概述了中国板栗产业现状。中国板栗生产存在良种化程度低、贮藏和加工水平落后、品牌意识淡薄等问题。为提高我国板栗产业发展水平，提升我国板栗产业市场竞争力，提出了提高良种化程度、提升贮藏和加工水平等对策。</t>
        </is>
      </c>
    </row>
    <row r="108">
      <c r="A108" s="2" t="n">
        <v>107</v>
      </c>
      <c r="B108" s="2" t="inlineStr">
        <is>
          <t>板栗叶片营养与土壤养分的动态变化及回归分析_李广会.md</t>
        </is>
      </c>
      <c r="C108" s="2" t="inlineStr">
        <is>
          <t>2012</t>
        </is>
      </c>
      <c r="D108" s="2" t="inlineStr">
        <is>
          <t>中文</t>
        </is>
      </c>
      <c r="E108" s="2" t="inlineStr">
        <is>
          <t>板栗叶片营养与土壤养分的动态变化及回归分析</t>
        </is>
      </c>
      <c r="F108" s="2" t="inlineStr">
        <is>
          <t>板栗叶片营养与土壤养分的动态变化及回归分析</t>
        </is>
      </c>
      <c r="G108" s="2" t="inlineStr">
        <is>
          <t>李广会，郭素娟，邹锋，熊欢，吕文君（北京林业大学省部共建森林培育与保护教育部重点实验室，北京100083）</t>
        </is>
      </c>
      <c r="H108" s="2" t="inlineStr">
        <is>
          <t>中南林业科技大学学报，2012，32(9)：41-46</t>
        </is>
      </c>
      <c r="I108" s="2" t="inlineStr">
        <is>
          <t>栽培与土壤管理</t>
        </is>
      </c>
      <c r="J108" s="2" t="inlineStr">
        <is>
          <t>营养诊断与施肥</t>
        </is>
      </c>
      <c r="K108" s="2" t="inlineStr">
        <is>
          <t>板栗;物候期;叶片营养;土壤养分;回归分析;营养诊断</t>
        </is>
      </c>
      <c r="L108" s="2" t="inlineStr">
        <is>
          <t>河北省迁西县7年生板栗品种3113（燕山早丰），株行距2 m×3 m；燕山板栗核心产区，沙壤土，pH 6.44，有机质2.89 g/kg</t>
        </is>
      </c>
      <c r="M108" s="2" t="inlineStr">
        <is>
          <t>按展叶期、授粉期、坐果期、幼果期、膨大期、成熟期6个物候期采集结果枝叶片（每期100片混合）和0-40 cm土壤样品；凯氏定氮法、钼锑抗比色法、AAS法联合测定叶片N、P、K，AAS法和甲亚胺法测Ca、Mg、Fe、Cu、Mn、B；碱解扩散法和Mehlich 3法测土壤速效养分；SPSS 18.0逐步回归分析</t>
        </is>
      </c>
      <c r="N108" s="2" t="inlineStr">
        <is>
          <t>以7年生板栗3113（燕山早丰）为试材，研究不同物候期结果枝叶片与土壤养分动态并进行逐步回归。板栗对矿质元素吸收有明显季节性：开花授粉期对N、P、K、Ca、B需求量大，果实膨大期对N、P、K、Ca需求量大；果实发育期间对Fe、Mn吸收持续增加，对Cu、Mg吸收变化较小。7月中旬至8月中旬树体养分变化相对平缓，可作为营养诊断期，初步确定叶片N、P、K、Ca、Mg、Mn、Fe、B、Cu适宜含量分别为2.103%、0.131%、0.723%、2.240%、0.709%、859.768、615.199、46.223、13.171 mg/kg。回归分析表明叶片N、P、K含量与土壤速效Fe含量呈正相关（速效Fe对叶片N、K影响显著，Sig.分别为0.037和0.019），速效Fe是影响板栗生产的重要因子。栗园应合理控制N、P、K肥用量，注意Fe、Mn、B等微肥平衡配施，实现高产优质。</t>
        </is>
      </c>
      <c r="O108" s="2" t="inlineStr">
        <is>
          <t>营养诊断期为7月中旬-8月中旬（幼果期07.07-08.12）；叶片适宜含量：N(2.103±0.162)%、P(0.131±0.016)%、K(0.723±0.044)%、Ca(2.240±0.130)%、Mg(0.709±0.037)%、Mn 859.768±187.401 mg/kg、Fe 615.199±43.965 mg/kg、B 46.223±1.073 mg/kg、Cu 13.171±0.891 mg/kg；回归模型：叶片N=-0.853+0.010×速效Fe（R2=0.812，Sig.=0.037显著）、叶片P=-0.028+0.001×速效Fe（R2=0.693）、叶片K=-0.324+0.004×速效Fe（R2=0.876，Sig.=0.019显著）；叶片Mg含量全物候期稳定在0.7%左右；叶片N、P、K含量最大值均出现在展叶期，随物候期总体呈下降趋势；叶片Ca含量总体上升，膨大期升幅最大；叶片Fe、Mn含量在果实发育期迅速升高；土壤速效N、P、K在开花授粉期和膨大期下降幅度最大</t>
        </is>
      </c>
      <c r="P108" s="2" t="inlineStr">
        <is>
          <t>提供板栗叶片营养诊断标准与诊断时期，指导栗园按物候期平衡施肥：授粉期重施N、P减少生理落果，膨大期保证N、P、K、Ca供应，重视硼肥防空苞、铁锰微肥配施，助力高产优质。</t>
        </is>
      </c>
      <c r="Q108" s="4" t="inlineStr">
        <is>
          <t>高</t>
        </is>
      </c>
      <c r="R108" s="2" t="inlineStr"/>
      <c r="S108" s="2" t="inlineStr">
        <is>
          <t>以板栗3113为试材，通过测定不同物候期结果枝叶片营养和土壤养分含量并进行逐步回归分析，研究了板栗对养分的需求特征，以期为板栗的营养诊断和科学平衡施肥提供依据。结果表明：（1）板栗对矿质元素的吸收有明显季节性，其中开花授粉期对N、P、K、Ca、B和果实膨大期对N、P、K、Ca需求量较大；果实发育期间板栗对Fe、Mn的吸收有持续增加的趋势；不同物候期板栗对Cu、Mg的吸收量变化较小；（2）7月中旬～8月中旬可作为营养诊断期，叶片主要矿质元素N、P、K、Ca、Mg、Mn、Fe、B、Cu的适宜含量分别为：（2.103±0.162）%、（0.131±0.016）%、（0.723±0.044）%、（2.240±0.130）%、（0.709±0.037）%、859.768±187.401 mg/kg、615.199±43.965 mg/kg、46.223±1.073 mg/kg、13.171±0.891 mg/kg；（3）回归分析发现，迁西地区板栗叶片N、P、K含量与土壤速效Fe含量呈正相关，速效Fe是影响板栗生产的一个重要因子。总之，栗园的养分管理应根据板栗的养分需求特征，合理控制N、P、K肥料用量，注意Fe、Mn、B等微肥的平衡配施，以实现板栗的高产优质。</t>
        </is>
      </c>
    </row>
    <row r="109">
      <c r="A109" s="2" t="n">
        <v>108</v>
      </c>
      <c r="B109" s="2" t="inlineStr">
        <is>
          <t>板栗淀粉糊化特性与淀粉粒粒径及直链淀粉含量的关系_梁丽松.md</t>
        </is>
      </c>
      <c r="C109" s="2" t="inlineStr">
        <is>
          <t>2009</t>
        </is>
      </c>
      <c r="D109" s="2" t="inlineStr">
        <is>
          <t>中文</t>
        </is>
      </c>
      <c r="E109" s="2" t="inlineStr">
        <is>
          <t>板栗淀粉糊化特性与淀粉粒粒径及直链淀粉含量的关系</t>
        </is>
      </c>
      <c r="F109" s="2" t="inlineStr">
        <is>
          <t>板栗淀粉糊化特性与淀粉粒粒径及直链淀粉含量的关系</t>
        </is>
      </c>
      <c r="G109" s="2" t="inlineStr">
        <is>
          <t>梁丽松，徐娟，王贵禧，马惠铃（中国林业科学研究院林业研究所/国家林业局林木培育实验室；西北农林科技大学林学院）</t>
        </is>
      </c>
      <c r="H109" s="2" t="inlineStr">
        <is>
          <t>中国农业科学，2009，42(1)：251-260</t>
        </is>
      </c>
      <c r="I109" s="2" t="inlineStr">
        <is>
          <t>果实品质与营养</t>
        </is>
      </c>
      <c r="J109" s="2" t="inlineStr">
        <is>
          <t>淀粉品质与糯性评价</t>
        </is>
      </c>
      <c r="K109" s="2" t="inlineStr">
        <is>
          <t>板栗;直链淀粉;糊化特性;RVA;淀粉粒粒径;糯性</t>
        </is>
      </c>
      <c r="L109" s="2" t="inlineStr">
        <is>
          <t>2006年9-10月采自3个品种群9个产区共33个主栽品种成熟板栗。北方品种群7个：燕红、燕昌、园和黑七、燕山魁栗、燕山早丰、燕山短枝、大板红；中间类型品种群11个：鲁岳早丰、宋家早、黄棚、泰栗1号、确山红栗、确山大毛栗、确山大油栗、小紫油栗、二新早、早栗子、叶里藏；南方品种群15个：建选3号、建选8号、建选10号、南浦魁栗、六合晚熟、六合中熟、平桥大毛栗、中熟青扎、SQ014、SQ021、SQ022、青扎、九家种、粘底板、铁粒头</t>
        </is>
      </c>
      <c r="M109" s="2" t="inlineStr">
        <is>
          <t>常规理化分析方法测定总淀粉及直链淀粉含量；Newport Scientific快速黏度仪（RVA）测定糊化特性；S3500激光粒度分布仪湿法测定淀粉粒粒径；SPSS进行邓肯氏新复极差测验和聚类分析（组内最短距离法）</t>
        </is>
      </c>
      <c r="N109" s="2" t="inlineStr">
        <is>
          <t>以3个品种群9个产区33个主栽品种为试材测定淀粉糊化特性、直链淀粉含量和淀粉粒粒径。不同品种板栗淀粉RVA谱特征值差异大且具明显地域分布特征：北方品种群峰值黏度、谷值黏度、最终黏度和稀懈值总体最高（平均峰值黏度4437.71 cp），回冷值、峰值时间和糊化温度最低（69.20℃）；北方品种群总淀粉含量（61.45%）显著低于中间类型和南方品种群，淀粉粒平均粒径（11.08 µm）显著最小；南方品种群直链淀粉含量（28.40%）显著最高。峰值黏度、稀懈值、回冷值与直链淀粉含量相关性最高，峰值黏度与淀粉粒平均粒径显著相关。聚类分析将33个品种分为4类：北方品种群普遍低直链淀粉、高峰值黏度，南方品种群多高直链淀粉、低峰值黏度，中间类型品种群兼有两类特点。直链淀粉含量和峰值黏度可作为衡量板栗糯性品质的指标。</t>
        </is>
      </c>
      <c r="O109" s="2" t="inlineStr">
        <is>
          <t>板栗总淀粉含量51.62%-86.65%（占干重），直链淀粉含量（占总淀粉）17.21%-30.16%；品种群平均总淀粉：北方61.45%、中间类型68.65%、南方67.22%；直链淀粉：北方26.49%、中间26.29%、南方28.40%（显著最高）；平均粒径：北方11.08 µm、中间12.20 µm、南方12.12 µm；北方品种群平均峰值黏度4437.71 cp显著高于中间类型4013.41 cp和南方3786.03 cp；糊化温度北方最低69.20℃、南方73.34℃；稀懈值与直链淀粉相关系数：北方-0.9117、中间-0.8472、南方-0.8711；回冷值与直链淀粉相关0.8858、0.8713、0.8798；淀粉粒粒径范围2-40 µm，主要分布5-20 µm；最高值品种：确山大油栗总淀粉86.65%、二新早直链32.78%；泰栗1号、确山毛栗直链淀粉最低（17.21%、17.81%）且峰值黏度高；聚类第Ⅰ类9个品种中北方品种群占6个（86%）</t>
        </is>
      </c>
      <c r="P109" s="2" t="inlineStr">
        <is>
          <t>建立板栗糯性品质量化评价体系（直链淀粉含量+峰值黏度），为炒食等强调糯性的加工用途选择品种和产区品质区划提供依据：北方品种群糯性普遍较好，深加工选料可参考淀粉理化指标。</t>
        </is>
      </c>
      <c r="Q109" s="4" t="inlineStr">
        <is>
          <t>高</t>
        </is>
      </c>
      <c r="R109" s="2" t="inlineStr"/>
      <c r="S109" s="2" t="inlineStr">
        <is>
          <t>【目的】分析3个品种群的33个主栽品种板栗淀粉糊化特性与直链淀粉含量及淀粉粒粒径之间的关系，为评价板栗糯性提供理论依据。【方法】采用常规理化分析方法测定板栗淀粉含量以及直链淀粉含量；用快速黏度分析仪（RVA）测定板栗淀粉糊化特性；利用S3500型激光粒度分布仪测定淀粉粒粒径分布；使用SPSS软件对数据进行差异显著性检验和聚类分析。【结果】不同品种板栗淀粉的RVA谱特征值之间存在较大差异，北方品种群板栗淀粉的峰值黏度、谷值黏度、最终黏度和稀懈值的总体水平均较其它两个品种群板栗高，各品种群之间差异显著；北方品种群的回冷值、峰值时间和糊化温度最低。板栗淀粉的糊化特性具有较明显的地域分布特征。不同品种板栗的总淀粉含量和直链淀粉含量均存在一定差异，北方品种群板栗的总淀粉含量显著低于其它两个品种群，南方品种群板栗淀粉中直链淀粉含量显著高于其它两个品种群。不同品种板栗粒径之间存在显著差异，淀粉粒粒径与品种密切相关，同时也具有较明显的地域分布特征。【结论】聚类分析将33个品种板栗分为4大类，北方品种群板栗普遍具有低直链淀粉含量、高峰值黏度的特点；南方品种群中的大部分板栗品种具有高直链淀粉含量和低峰值黏度的特点；中间类型品种群中一部分品种具有近于北方品种群板栗的特点，一部分具有近于南方品种群板栗的特点。板栗的直链淀粉含量和糊化峰值黏度可以作为衡量板栗糯性品质的指标。</t>
        </is>
      </c>
    </row>
    <row r="110">
      <c r="A110" s="2" t="n">
        <v>109</v>
      </c>
      <c r="B110" s="2" t="inlineStr">
        <is>
          <t>磷对板栗结实性能及产量的影响_黄宏文.md</t>
        </is>
      </c>
      <c r="C110" s="2" t="inlineStr">
        <is>
          <t>1991</t>
        </is>
      </c>
      <c r="D110" s="2" t="inlineStr">
        <is>
          <t>中文</t>
        </is>
      </c>
      <c r="E110" s="2" t="inlineStr">
        <is>
          <t>磷对板栗结实性能及产量的影响</t>
        </is>
      </c>
      <c r="F110" s="2" t="inlineStr">
        <is>
          <t>磷对板栗结实性能及产量的影响</t>
        </is>
      </c>
      <c r="G110" s="2" t="inlineStr">
        <is>
          <t>黄宏文，张力田，卢瑛，汪庆一，周德勇，朱智（湖北省农科院果树茶叶研究所；湖北罗田县林业局）</t>
        </is>
      </c>
      <c r="H110" s="2" t="inlineStr">
        <is>
          <t>园艺学报，1991，18(1)：21-26</t>
        </is>
      </c>
      <c r="I110" s="2" t="inlineStr">
        <is>
          <t>栽培与土壤管理</t>
        </is>
      </c>
      <c r="J110" s="2" t="inlineStr">
        <is>
          <t>磷肥施用与花性别分化</t>
        </is>
      </c>
      <c r="K110" s="2" t="inlineStr">
        <is>
          <t>磷;板栗;结果母枝;雌花;雄花;产量</t>
        </is>
      </c>
      <c r="L110" s="2" t="inlineStr">
        <is>
          <t>湖北罗田县及鄂东大别山区板栗（中迟栗等地方类型），花岗岩、片麻岩风化砂质土低产栗园；罗田、麻城丰产树与低产树对比调查</t>
        </is>
      </c>
      <c r="M110" s="2" t="inlineStr">
        <is>
          <t>田间随机区组施磷试验（设不同株施量过磷酸钙、过磷酸钙加树盘覆草、过磷酸钙加合理修剪、株施堆肥、过磷酸钙浸出液、对照等多处理），过磷酸钙混入有机质渣肥防止被土壤固定，于根系吸磷高峰期在树冠外围环状沟施；测定结果母枝、雄花母枝、营养枝及雌雄花的N、P、K、Ca、Mg等矿质营养、粗蛋白和氨基酸；调查母枝抽生结果枝数、雌花数、雌雄花枝比例、结果枝粗度、结苞数并单株测产；开展大面积施磷肥示范</t>
        </is>
      </c>
      <c r="N110" s="2" t="inlineStr">
        <is>
          <t>在湖北罗田及鄂东大别山区开展施磷试验与生产调查。结果表明磷对板栗雌花形成有重要影响：结果母枝含磷量与母枝抽生结果枝数和着生雌花数呈显著正相关；结果母枝含磷量分别高于雄花母枝和营养枝，雌花含磷量高于雄花，粗蛋白亦高，精氨酸、组氨酸、赖氨酸在雌花中含量高于雄花且与磷含量变化平行。树体磷素水平与雌雄花枝比例和果枝结苞数显著正相关，而雄花枝数量与磷关系不显著，树体氮素水平与雌花数量无关。当地花岗岩片麻岩风化土壤钾源丰富但严重缺磷，是板栗雄花多、雌花少、产量低的主要原因，丰产树土壤速效磷比低产树高近一倍（差异极显著）。增施磷肥可显著提高土壤速效磷和树体磷素水平，增加雌花分化、结果枝数和结苞数；施磷并辅以合理修剪的处理比对照增产一倍以上，大面积施磷示范证明施磷对板栗具有一致增产效益。</t>
        </is>
      </c>
      <c r="O110" s="2" t="inlineStr">
        <is>
          <t>结果母枝含磷量与母枝抽生结果枝数和雌花数量呈显著正相关；结果母枝含磷量分别高于雄花母枝和营养枝（雄花母枝与营养枝含磷量几乎相等）；雌花含磷量平均比雄花高，其次为氮，粗蛋白亦高于雄花；精氨酸、组氨酸、赖氨酸在雌花中含量比雄花分别高（对细胞分裂起重要作用），与磷含量变化平行；树体磷素平均含量与雌雄花枝比例和果枝平均结苞数均呈显著正相关，雄花枝数量与树体磷素含量关系不显著；丰产树土壤速效磷含量比低产树高近一倍，差异极显著，而全氮、碱解氮仅微小差异；鄂东大别山区花岗岩片麻岩风化土壤长石含量多、钾源丰富但严重缺磷；连续两年施磷处理在结果枝结实数相同情况下结果枝直径比对照小，即施磷使不能分化雌花的细枝分化雌花；施磷加合理修剪（冬季除去雄花母枝、纤细枝、过密枝）处理比对照增产一倍以上效果最佳；饼肥配制的堆肥处理也表现较好增产效果；罗田多村组栗园大面积中试在遇旱情况下仍增产而对照减产</t>
        </is>
      </c>
      <c r="P110" s="2" t="inlineStr">
        <is>
          <t>明确缺磷是板栗雄花多雌花少、低产的关键原因，指导低产栗园在根系吸磷高峰期将过磷酸钙混有机肥环状沟施并配合合理修剪，可显著促进雌花形成和增产，是低产栗园改造的实用措施。</t>
        </is>
      </c>
      <c r="Q110" s="4" t="inlineStr">
        <is>
          <t>高</t>
        </is>
      </c>
      <c r="R110" s="2" t="inlineStr"/>
      <c r="S110" s="2" t="inlineStr">
        <is>
          <t>试验结果表明，磷对板栗雌花的形成数量有重要影响，结果母枝含磷量与母枝抽生结果枝数量和着生雌花数量呈显著正相关。板栗结果母枝含磷量比雄花母枝和营养枝分别高（原文数字OCR缺损）。树体磷素含量水平与板栗雌、雄花枝比例和结果枝结栗苞数量也存在密切的相关性。在不同施磷水平下，结果枝粗度与果枝结栗苞数均具有显著的回归关系。本研究结果在鄂东大别山区进行了大面积施磷肥示范，生产实践证明，施磷肥对板栗具有一致的增产效益。（注：原文件为扫描OCR件，部分数字缺损，摘要按可读部分如实摘录）</t>
        </is>
      </c>
    </row>
    <row r="111">
      <c r="A111" s="2" t="n">
        <v>110</v>
      </c>
      <c r="B111" s="2" t="inlineStr">
        <is>
          <t>种植绿肥对板栗林土壤养分和生物学性质的影响_姜培坤.md</t>
        </is>
      </c>
      <c r="C111" s="2" t="inlineStr">
        <is>
          <t>2007</t>
        </is>
      </c>
      <c r="D111" s="2" t="inlineStr">
        <is>
          <t>中文</t>
        </is>
      </c>
      <c r="E111" s="2" t="inlineStr">
        <is>
          <t>种植绿肥对板栗林土壤养分和生物学性质的影响</t>
        </is>
      </c>
      <c r="F111" s="2" t="inlineStr">
        <is>
          <t>种植绿肥对板栗林土壤养分和生物学性质的影响</t>
        </is>
      </c>
      <c r="G111" s="2" t="inlineStr">
        <is>
          <t>姜培坤，徐秋芳，周国模，邬奇峰，吴家森（浙江林学院环境科技学院，浙江临安311300）</t>
        </is>
      </c>
      <c r="H111" s="2" t="inlineStr">
        <is>
          <t>北京林业大学学报，2007，29(3)：120-123</t>
        </is>
      </c>
      <c r="I111" s="2" t="inlineStr">
        <is>
          <t>栽培与土壤管理</t>
        </is>
      </c>
      <c r="J111" s="2" t="inlineStr">
        <is>
          <t>绿肥与土壤改良</t>
        </is>
      </c>
      <c r="K111" s="2" t="inlineStr">
        <is>
          <t>板栗;绿肥;土壤养分;土壤酶活性;土壤水溶性有机碳;土壤微生物量碳</t>
        </is>
      </c>
      <c r="L111" s="2" t="inlineStr">
        <is>
          <t>浙江省临安市三口镇葱坑村8年生板栗林（密度2 m×3 m，平均胸径12.5 cm），发育于砂页岩的红壤；供试绿肥为黑麦草、白三叶、大绿豆</t>
        </is>
      </c>
      <c r="M111" s="2" t="inlineStr">
        <is>
          <t>2005年春布置田间随机区组试验，设5个处理3次重复：黑麦草（27 kg/hm2）、白三叶（13.5 kg/hm2）、大绿豆（31.5 kg/hm2）、三者混播（9/4.5/10.5 kg/hm2）、对照（不播种绿肥）；每公顷施复合肥（15:15:15）112.5 kg；调查绿肥生物量并于绿肥翻入土壤后（11月）取0-20 cm土样；测定水解氮、有效磷、速效钾、全氮、全磷、有机质、磷酸酶、蔗糖酶、过氧化氢酶、水溶性有机碳和微生物量碳（氯仿熏蒸浸提法）</t>
        </is>
      </c>
      <c r="N111" s="2" t="inlineStr">
        <is>
          <t>在浙江临安8年生板栗红壤林布置对照、黑麦草、白三叶、大绿豆及三种混播5处理田间试验。结果表明：播种绿肥当年，各绿肥处理土壤全氮和有机质含量均显著高于对照（P&lt;0.05）；播种绿肥显著增加了土壤磷酸酶、蔗糖酶、过氧化氢酶活性及土壤水溶性有机碳和微生物量碳含量；当年对土壤水解氮、有效磷和速效钾含量无显著影响。4种绿肥处理比较，大绿豆对提高土壤全氮（0.981 g/kg）、有机质（27.95 g/kg）和土壤酶活性效果最好，其水溶性有机碳（40.67 mg/kg）显著高于白三叶处理；各绿肥处理微生物量碳（293.78-305.04 mg/kg）显著高于对照（183.36 mg/kg）但处理间无显著差异。建议在浙江红壤板栗林播种大绿豆、印尼豇豆、乌豇豆、南苜蓿、紫苜蓿、天蓝苜蓿等绿肥，恢复集约经营造成的土壤质量退化。</t>
        </is>
      </c>
      <c r="O111" s="2" t="inlineStr">
        <is>
          <t>土壤全氮：大绿豆0.981 g/kg（最高）&gt;混播0.899、黑麦草0.881、白三叶0.813 g/kg&gt;对照0.787 g/kg（播种绿肥均显著高于对照，大绿豆又显著高于白三叶）；有机质：大绿豆27.95 g/kg&gt;混播25.43、黑麦草25.19、白三叶23.45 g/kg&gt;对照21.99 g/kg；水解氮：白三叶143.01、大绿豆136.53、混播127.80、黑麦草117.82、对照110.79 mg/kg，处理间差异不显著；有效磷：白三叶12.35 mg/kg最高、对照7.36 mg/kg最低，差异不显著；速效钾：白三叶129.74、对照111.66 mg/kg，差异不显著；酶活性：大绿豆与混播处理磷酸酶2.767、2.878，蔗糖酶5.38、5.66，过氧化氢酶0.463、0.517，显著高于黑麦草、白三叶和对照（磷酸酶1.350、蔗糖酶3.03、过氧化氢酶0.210）；水溶性有机碳：大绿豆40.67、混播39.47 mg/kg显著高于白三叶35.63 mg/kg，对照仅20.14 mg/kg；微生物量碳：293.78-305.04 mg/kg（绿肥处理）显著高于对照183.36 mg/kg；水溶性有机碳/总有机碳由对照0.16%升至0.25%-0.27%，微生物量碳/总有机碳由1.44%升至1.84%-2.24%</t>
        </is>
      </c>
      <c r="P111" s="2" t="inlineStr">
        <is>
          <t>为板栗林化肥减量与土壤改良提供绿肥方案：行间播种大绿豆等豆科绿肥并于秋季翻压，可提升土壤有机质、全氮、酶活性和微生物量碳，修复长期清耕、施除草剂造成的土壤退化。</t>
        </is>
      </c>
      <c r="Q111" s="4" t="inlineStr">
        <is>
          <t>高</t>
        </is>
      </c>
      <c r="R111" s="2" t="inlineStr"/>
      <c r="S111" s="2" t="inlineStr">
        <is>
          <t>为了研究不同绿肥播种对板栗林土壤性质的影响，布置了对照、黑麦草、白三叶、大绿豆、黑麦草、白三叶和大绿豆3种混播等5个处理的田间试验。结果表明：4个绿肥播种处理的土壤全氮和有机质含量均明显高于对照处理（P&lt;0.05）；播种绿肥显著增加了土壤酶活性和土壤水溶性有机碳及微生物量碳的含量（P&lt;0.05）；播种绿肥在当年对土壤水解氮、有效磷和速效钾含量无显著影响。对4个播种绿肥处理进行比较发现，播种大绿豆对提高土壤全氮、有机质含量和土壤酶活性效果最好。</t>
        </is>
      </c>
    </row>
  </sheetData>
  <autoFilter ref="A1:S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30" customWidth="1" min="3" max="3"/>
    <col width="30" customWidth="1" min="4" max="4"/>
    <col width="14" customWidth="1" min="5" max="5"/>
    <col width="11" customWidth="1" min="6" max="6"/>
    <col width="22" customWidth="1" min="7" max="7"/>
    <col width="90" customWidth="1" min="8" max="8"/>
  </cols>
  <sheetData>
    <row r="1" ht="24" customHeight="1">
      <c r="A1" s="1" t="inlineStr">
        <is>
          <t>条目序号</t>
        </is>
      </c>
      <c r="B1" s="1" t="inlineStr">
        <is>
          <t>来源序号</t>
        </is>
      </c>
      <c r="C1" s="1" t="inlineStr">
        <is>
          <t>来源文件</t>
        </is>
      </c>
      <c r="D1" s="1" t="inlineStr">
        <is>
          <t>论文标题中文</t>
        </is>
      </c>
      <c r="E1" s="1" t="inlineStr">
        <is>
          <t>一级分类</t>
        </is>
      </c>
      <c r="F1" s="1" t="inlineStr">
        <is>
          <t>适用场景</t>
        </is>
      </c>
      <c r="G1" s="1" t="inlineStr">
        <is>
          <t>知识点主题</t>
        </is>
      </c>
      <c r="H1" s="1" t="inlineStr">
        <is>
          <t>知识内容</t>
        </is>
      </c>
    </row>
    <row r="2">
      <c r="A2" s="2" t="n">
        <v>1</v>
      </c>
      <c r="B2" s="2" t="n">
        <v>1</v>
      </c>
      <c r="C2" s="2" t="inlineStr">
        <is>
          <t>001_2026_Combined hormonomic, transcriptomic, and metabolomic analyses reveal the role of programmed cell.md</t>
        </is>
      </c>
      <c r="D2" s="2" t="inlineStr">
        <is>
          <t>激素组学、转录组学与代谢组学联合分析揭示板栗芽脱落中程序性细胞死亡的作用</t>
        </is>
      </c>
      <c r="E2" s="2" t="inlineStr">
        <is>
          <t>生理与分子机制</t>
        </is>
      </c>
      <c r="F2" s="2" t="inlineStr">
        <is>
          <t>品种选择</t>
        </is>
      </c>
      <c r="G2" s="2" t="inlineStr">
        <is>
          <t>矮化紧凑品种'替码珍珠'的独特落芽性状</t>
        </is>
      </c>
      <c r="H2" s="2" t="inlineStr">
        <is>
          <t>'替码珍珠'是1979年报道的自然突变品种，其结果枝顶端芽（替码）在夏季正常生长条件下衰老脱落，生长转向下部潜伏芽形成翌年结果枝，从而自然形成紧凑树冠；普通品种树冠每年外扩约40 cm，修剪管理成本高、土地利用率下降。该品种是矮化密植和矮化育种的天然模式材料。</t>
        </is>
      </c>
    </row>
    <row r="3">
      <c r="A3" s="2" t="n">
        <v>2</v>
      </c>
      <c r="B3" s="2" t="n">
        <v>1</v>
      </c>
      <c r="C3" s="2" t="inlineStr">
        <is>
          <t>001_2026_Combined hormonomic, transcriptomic, and metabolomic analyses reveal the role of programmed cell.md</t>
        </is>
      </c>
      <c r="D3" s="2" t="inlineStr">
        <is>
          <t>激素组学、转录组学与代谢组学联合分析揭示板栗芽脱落中程序性细胞死亡的作用</t>
        </is>
      </c>
      <c r="E3" s="2" t="inlineStr">
        <is>
          <t>生理与分子机制</t>
        </is>
      </c>
      <c r="F3" s="2" t="inlineStr">
        <is>
          <t>栽培管理</t>
        </is>
      </c>
      <c r="G3" s="2" t="inlineStr">
        <is>
          <t>芽脱落的激素调控规律</t>
        </is>
      </c>
      <c r="H3" s="2" t="inlineStr">
        <is>
          <t>芽PCD过程中活性细胞分裂素（tZRMP、iPRMP）水平下降，生长素前体（吲哚r=0.95、TRP r=0.91、IAM）、ABA储存形式ABA-GE（r=0.65）、乙烯前体ACC（r=0.86）和JA-Phe（r=0.81）显著积累；细胞分裂素和生长素可延缓器官衰老，乙烯与茉莉酸促进衰老脱落，提示生产上可通过外源细胞分裂素类物质延缓顶端芽衰老。</t>
        </is>
      </c>
    </row>
    <row r="4">
      <c r="A4" s="2" t="n">
        <v>3</v>
      </c>
      <c r="B4" s="2" t="n">
        <v>1</v>
      </c>
      <c r="C4" s="2" t="inlineStr">
        <is>
          <t>001_2026_Combined hormonomic, transcriptomic, and metabolomic analyses reveal the role of programmed cell.md</t>
        </is>
      </c>
      <c r="D4" s="2" t="inlineStr">
        <is>
          <t>激素组学、转录组学与代谢组学联合分析揭示板栗芽脱落中程序性细胞死亡的作用</t>
        </is>
      </c>
      <c r="E4" s="2" t="inlineStr">
        <is>
          <t>生理与分子机制</t>
        </is>
      </c>
      <c r="F4" s="2" t="inlineStr">
        <is>
          <t>基础研究</t>
        </is>
      </c>
      <c r="G4" s="2" t="inlineStr">
        <is>
          <t>芽PCD的细胞学特征与时间节点</t>
        </is>
      </c>
      <c r="H4" s="2" t="inlineStr">
        <is>
          <t>'替码珍珠'上部芽在雄花脱落（6月20日）后20天（S20）细胞结构正常；25天（S25）出现液泡增大破裂、线粒体和叶绿体消失、细胞核固缩核仁消失等活跃PCD特征；30天（S30）细胞死亡基本完成、芽受轻微外力即脱落；同期'大板红'上部芽和'替码珍珠'下部芽均无PCD迹象。</t>
        </is>
      </c>
    </row>
    <row r="5">
      <c r="A5" s="2" t="n">
        <v>4</v>
      </c>
      <c r="B5" s="2" t="n">
        <v>1</v>
      </c>
      <c r="C5" s="2" t="inlineStr">
        <is>
          <t>001_2026_Combined hormonomic, transcriptomic, and metabolomic analyses reveal the role of programmed cell.md</t>
        </is>
      </c>
      <c r="D5" s="2" t="inlineStr">
        <is>
          <t>激素组学、转录组学与代谢组学联合分析揭示板栗芽脱落中程序性细胞死亡的作用</t>
        </is>
      </c>
      <c r="E5" s="2" t="inlineStr">
        <is>
          <t>生理与分子机制</t>
        </is>
      </c>
      <c r="F5" s="2" t="inlineStr">
        <is>
          <t>繁殖育种</t>
        </is>
      </c>
      <c r="G5" s="2" t="inlineStr">
        <is>
          <t>芽PCD三层调控网络与关键基因</t>
        </is>
      </c>
      <c r="H5" s="2" t="inlineStr">
        <is>
          <t>提出'激素信号—转录响应—代谢重编程'三层模型：ABA/乙烯信号增强（ABA-GE↑、ACC↑）与细胞分裂素信号减弱（tZRMP↓）启动脱落程序；转录层面激活苯丙烷代谢（PAL为最高连接度枢纽基因，PALY基因EVM0012757等上调）、细胞壁修饰（PGLRs、PMEs、PLY8/5）和防御（GSTU8等GSTs、PER1/4/61）；代谢层面苯丙烷类、萜类（85%上调）、生物碱及香豆素积累；全基因组鉴定47个自噬相关基因，其中17个归属lightcyan模块，自噬介导受损细胞器降解与养分回收。</t>
        </is>
      </c>
    </row>
    <row r="6">
      <c r="A6" s="2" t="n">
        <v>5</v>
      </c>
      <c r="B6" s="2" t="n">
        <v>1</v>
      </c>
      <c r="C6" s="2" t="inlineStr">
        <is>
          <t>001_2026_Combined hormonomic, transcriptomic, and metabolomic analyses reveal the role of programmed cell.md</t>
        </is>
      </c>
      <c r="D6" s="2" t="inlineStr">
        <is>
          <t>激素组学、转录组学与代谢组学联合分析揭示板栗芽脱落中程序性细胞死亡的作用</t>
        </is>
      </c>
      <c r="E6" s="2" t="inlineStr">
        <is>
          <t>生理与分子机制</t>
        </is>
      </c>
      <c r="F6" s="2" t="inlineStr">
        <is>
          <t>基础研究</t>
        </is>
      </c>
      <c r="G6" s="2" t="inlineStr">
        <is>
          <t>多组学数据规模与代谢图谱</t>
        </is>
      </c>
      <c r="H6" s="2" t="inlineStr">
        <is>
          <t>检测到8大类激素化合物，两组间共有差异激素12种（ABA-GE、DHZ7G、mT、KR、SA、GA3等）；代谢组共覆盖13类代谢物，类黄酮507种（16.9%）、酚酸410种（13.7%）、萜类404种（13.5%）为主；S30期90个DAMs在各比较中一致显著，其中多数黄酮醇和精氨酸下调，而生物碱、游离脂肪酸、木脂素、香豆素及85%萜类显著上调，表明生长维持相关代谢受抑、防御信号代谢被激活。</t>
        </is>
      </c>
    </row>
    <row r="7">
      <c r="A7" s="2" t="n">
        <v>6</v>
      </c>
      <c r="B7" s="2" t="n">
        <v>2</v>
      </c>
      <c r="C7" s="2" t="inlineStr">
        <is>
          <t>002_2026_Comprehensive metabolomic characterization of defense reprogramming in Castanea mollissima under.md</t>
        </is>
      </c>
      <c r="D7" s="2" t="inlineStr">
        <is>
          <t>板栗受栗红蜘蛛取食胁迫下防御重编程的综合代谢组学表征</t>
        </is>
      </c>
      <c r="E7" s="2" t="inlineStr">
        <is>
          <t>病虫害防治</t>
        </is>
      </c>
      <c r="F7" s="2" t="inlineStr">
        <is>
          <t>病虫害防治</t>
        </is>
      </c>
      <c r="G7" s="2" t="inlineStr">
        <is>
          <t>板栗品种抗螨性分级与鉴定方法</t>
        </is>
      </c>
      <c r="H7" s="2" t="inlineStr">
        <is>
          <t>依据叶片黄化指数可将板栗抗螨性分为5级：高抗I&lt;15%、抗15-25%、中抗25-35%、感35-60%、高感≥60%（8月初每树调查50片叶，按黄化面积占叶面积比例0-4级打分）。实测4品种：徐家1号高抗（12.35%）、燕山早峰感（37.24%）、燕奎感（45.38%）、燕星高感（68.73%），该指标体系可直接用于田间种质抗螨性评价。</t>
        </is>
      </c>
    </row>
    <row r="8">
      <c r="A8" s="2" t="n">
        <v>7</v>
      </c>
      <c r="B8" s="2" t="n">
        <v>2</v>
      </c>
      <c r="C8" s="2" t="inlineStr">
        <is>
          <t>002_2026_Comprehensive metabolomic characterization of defense reprogramming in Castanea mollissima under.md</t>
        </is>
      </c>
      <c r="D8" s="2" t="inlineStr">
        <is>
          <t>板栗受栗红蜘蛛取食胁迫下防御重编程的综合代谢组学表征</t>
        </is>
      </c>
      <c r="E8" s="2" t="inlineStr">
        <is>
          <t>病虫害防治</t>
        </is>
      </c>
      <c r="F8" s="2" t="inlineStr">
        <is>
          <t>病虫害防治</t>
        </is>
      </c>
      <c r="G8" s="2" t="inlineStr">
        <is>
          <t>栗红蜘蛛的危害与经济损失</t>
        </is>
      </c>
      <c r="H8" s="2" t="inlineStr">
        <is>
          <t>栗红蜘蛛（Oligonychus ununguis）是山东、河北、北京等北方板栗产区的重要害虫，刺吸叶肉细胞致沿叶脉黄化、光合能力下降，同时影响当年和翌年坚果产量与品质；农药长期大量使用已导致其产生多类杀螨剂抗性，螨害防治支出约占总生产成本的20-25%，种植抗螨品种是减少化学投入、实现可持续生产的根本策略。</t>
        </is>
      </c>
    </row>
    <row r="9">
      <c r="A9" s="2" t="n">
        <v>8</v>
      </c>
      <c r="B9" s="2" t="n">
        <v>2</v>
      </c>
      <c r="C9" s="2" t="inlineStr">
        <is>
          <t>002_2026_Comprehensive metabolomic characterization of defense reprogramming in Castanea mollissima under.md</t>
        </is>
      </c>
      <c r="D9" s="2" t="inlineStr">
        <is>
          <t>板栗受栗红蜘蛛取食胁迫下防御重编程的综合代谢组学表征</t>
        </is>
      </c>
      <c r="E9" s="2" t="inlineStr">
        <is>
          <t>病虫害防治</t>
        </is>
      </c>
      <c r="F9" s="2" t="inlineStr">
        <is>
          <t>病虫害防治</t>
        </is>
      </c>
      <c r="G9" s="2" t="inlineStr">
        <is>
          <t>抗螨关键差异代谢物</t>
        </is>
      </c>
      <c r="H9" s="2" t="inlineStr">
        <is>
          <t>肉桂酸、咖啡酸甲酯、黄芩素、没食子儿茶素、脱氢二异丁香酚和灵芝酸6种代谢物在高抗品种徐家1号中特异高积累：肉桂酸参与细胞壁木质化强化组织屏障；黄芩素具抗氧化抗病毒活性并可抑制消化酶；没食子儿茶素是缩合单宁前体，干扰螨虫取食与消化；脱氢二异丁香酚参与木质素合成。27个共有差异代谢物中15个达极显著（P&lt;0.01），主要涉及类黄酮代谢（ko00941）、苯丙氨酸代谢（ko00360）和苯丙烷生物合成（ko00940）通路。</t>
        </is>
      </c>
    </row>
    <row r="10">
      <c r="A10" s="2" t="n">
        <v>9</v>
      </c>
      <c r="B10" s="2" t="n">
        <v>2</v>
      </c>
      <c r="C10" s="2" t="inlineStr">
        <is>
          <t>002_2026_Comprehensive metabolomic characterization of defense reprogramming in Castanea mollissima under.md</t>
        </is>
      </c>
      <c r="D10" s="2" t="inlineStr">
        <is>
          <t>板栗受栗红蜘蛛取食胁迫下防御重编程的综合代谢组学表征</t>
        </is>
      </c>
      <c r="E10" s="2" t="inlineStr">
        <is>
          <t>病虫害防治</t>
        </is>
      </c>
      <c r="F10" s="2" t="inlineStr">
        <is>
          <t>基础研究</t>
        </is>
      </c>
      <c r="G10" s="2" t="inlineStr">
        <is>
          <t>板栗叶片次生代谢物图谱</t>
        </is>
      </c>
      <c r="H10" s="2" t="inlineStr">
        <is>
          <t>广靶代谢组共检出713种次生代谢物：黄酮83种、黄酮醇100种、黄烷醇15种、异黄酮10种等类黄酮合计246种（34.5%），酚酸221种（31%）为两大主体，另有萜类72种、生物碱58种、木脂素与香豆素49种、单宁43种等；抗感品种间代谢组成差异显著（PCA中R-1沿PC2明显分离），遗传背景显著影响抗螨相关代谢谱。</t>
        </is>
      </c>
    </row>
    <row r="11">
      <c r="A11" s="2" t="n">
        <v>10</v>
      </c>
      <c r="B11" s="2" t="n">
        <v>2</v>
      </c>
      <c r="C11" s="2" t="inlineStr">
        <is>
          <t>002_2026_Comprehensive metabolomic characterization of defense reprogramming in Castanea mollissima under.md</t>
        </is>
      </c>
      <c r="D11" s="2" t="inlineStr">
        <is>
          <t>板栗受栗红蜘蛛取食胁迫下防御重编程的综合代谢组学表征</t>
        </is>
      </c>
      <c r="E11" s="2" t="inlineStr">
        <is>
          <t>病虫害防治</t>
        </is>
      </c>
      <c r="F11" s="2" t="inlineStr">
        <is>
          <t>品种选择</t>
        </is>
      </c>
      <c r="G11" s="2" t="inlineStr">
        <is>
          <t>抗感品种防御响应差异</t>
        </is>
      </c>
      <c r="H11" s="2" t="inlineStr">
        <is>
          <t>抗性品种受螨害后转录响应更强烈：R-1 vs M1、M2、S19分别鉴定5480、6127、5083个差异基因且上调基因均多于下调，932个共有DEGs富集于硒化合物代谢、淀粉与蔗糖代谢和植物-病原互作通路；差异代谢物主要富集于苯丙氨酸代谢、类黄酮与花青苷合成，表明抗性品种具备更强的信号感知与防御代谢激活能力，可作为抗螨育种的优异亲本。</t>
        </is>
      </c>
    </row>
    <row r="12">
      <c r="A12" s="2" t="n">
        <v>11</v>
      </c>
      <c r="B12" s="2" t="n">
        <v>3</v>
      </c>
      <c r="C12" s="2" t="inlineStr">
        <is>
          <t>003_2026_Genome-wide analysis of the ALDH superfamily in _i_Castanea mollissima__i_ highlights roles in a.md</t>
        </is>
      </c>
      <c r="D12" s="2" t="inlineStr">
        <is>
          <t>板栗乙醛脱氢酶（ALDH）超家族全基因组分析揭示其在非生物胁迫响应中的作用</t>
        </is>
      </c>
      <c r="E12" s="2" t="inlineStr">
        <is>
          <t>基因组与基因家族</t>
        </is>
      </c>
      <c r="F12" s="2" t="inlineStr">
        <is>
          <t>基础研究</t>
        </is>
      </c>
      <c r="G12" s="2" t="inlineStr">
        <is>
          <t>板栗ALDH基因家族组成与进化</t>
        </is>
      </c>
      <c r="H12" s="2" t="inlineStr">
        <is>
          <t>首次全基因组鉴定板栗乙醛脱氢酶超家族：25个CmALDH基因分属9个家族，ALDH2和ALDH3家族最大（各6个成员），家族18无成员；分散复制是主要扩张方式（9个基因），WGD占28%（7个）、串联复制占24%（6个）；同源基因对Ka/Ks均&lt;1，经历强纯化选择，功能保守。家族成员数（25个）与葡萄（23个）相近，远低于毛竹（60个）和花生（71个）。</t>
        </is>
      </c>
    </row>
    <row r="13">
      <c r="A13" s="2" t="n">
        <v>12</v>
      </c>
      <c r="B13" s="2" t="n">
        <v>3</v>
      </c>
      <c r="C13" s="2" t="inlineStr">
        <is>
          <t>003_2026_Genome-wide analysis of the ALDH superfamily in _i_Castanea mollissima__i_ highlights roles in a.md</t>
        </is>
      </c>
      <c r="D13" s="2" t="inlineStr">
        <is>
          <t>板栗乙醛脱氢酶（ALDH）超家族全基因组分析揭示其在非生物胁迫响应中的作用</t>
        </is>
      </c>
      <c r="E13" s="2" t="inlineStr">
        <is>
          <t>基因组与基因家族</t>
        </is>
      </c>
      <c r="F13" s="2" t="inlineStr">
        <is>
          <t>基础研究</t>
        </is>
      </c>
      <c r="G13" s="2" t="inlineStr">
        <is>
          <t>CmALDH基因的胁迫表达响应</t>
        </is>
      </c>
      <c r="H13" s="2" t="inlineStr">
        <is>
          <t>CmALDH11A1受低温强烈诱导：-15°C处理5小时和10小时后FPKM由对照103.79分别升至323.56（+200%）和667.13（+500%）；CmALDH2C2在低温和盐胁迫（200 mmol/L NaCl）下均上调，盐处理14/26天后FPKM由46.76→98.93、51.50→130.74；CmALDH3H1在45°C高温下表达降至对照的21.21%-27.52%；CmALDH2B1在盐、碱、遮荫下均上调，具多重胁迫交叉耐受潜力。</t>
        </is>
      </c>
    </row>
    <row r="14">
      <c r="A14" s="2" t="n">
        <v>13</v>
      </c>
      <c r="B14" s="2" t="n">
        <v>3</v>
      </c>
      <c r="C14" s="2" t="inlineStr">
        <is>
          <t>003_2026_Genome-wide analysis of the ALDH superfamily in _i_Castanea mollissima__i_ highlights roles in a.md</t>
        </is>
      </c>
      <c r="D14" s="2" t="inlineStr">
        <is>
          <t>板栗乙醛脱氢酶（ALDH）超家族全基因组分析揭示其在非生物胁迫响应中的作用</t>
        </is>
      </c>
      <c r="E14" s="2" t="inlineStr">
        <is>
          <t>基因组与基因家族</t>
        </is>
      </c>
      <c r="F14" s="2" t="inlineStr">
        <is>
          <t>繁殖育种</t>
        </is>
      </c>
      <c r="G14" s="2" t="inlineStr">
        <is>
          <t>抗旱候选基因与调控元件</t>
        </is>
      </c>
      <c r="H14" s="2" t="inlineStr">
        <is>
          <t>基于转录组数据，CmALDH3I1和CmALDH7B1在'大板红'和'燕山早峰'两个品种干旱处理（停水0/10/20/30/40天）中均显著上调，是板栗抗旱响应的重要候选基因；CmALDH启动子富含ABA响应（ABRE）、干旱诱导（MBS）、防御胁迫（TC-rich repeats）、厌氧（ARE）等元件，受MYB、ERF、NAC、WRKY等核心胁迫响应转录因子调控，CmALDH11A1、2C1、6B5分别被多达90、63、62个TF调控。</t>
        </is>
      </c>
    </row>
    <row r="15">
      <c r="A15" s="2" t="n">
        <v>14</v>
      </c>
      <c r="B15" s="2" t="n">
        <v>3</v>
      </c>
      <c r="C15" s="2" t="inlineStr">
        <is>
          <t>003_2026_Genome-wide analysis of the ALDH superfamily in _i_Castanea mollissima__i_ highlights roles in a.md</t>
        </is>
      </c>
      <c r="D15" s="2" t="inlineStr">
        <is>
          <t>板栗乙醛脱氢酶（ALDH）超家族全基因组分析揭示其在非生物胁迫响应中的作用</t>
        </is>
      </c>
      <c r="E15" s="2" t="inlineStr">
        <is>
          <t>基因组与基因家族</t>
        </is>
      </c>
      <c r="F15" s="2" t="inlineStr">
        <is>
          <t>基础研究</t>
        </is>
      </c>
      <c r="G15" s="2" t="inlineStr">
        <is>
          <t>ALDH基因的生理功能背景</t>
        </is>
      </c>
      <c r="H15" s="2" t="inlineStr">
        <is>
          <t>植物ALDH以NAD+/NADP+为辅因子，将干旱、盐渍、极端温度等胁迫下过量积累的毒性醛不可逆氧化为羧酸，清除脂质过氧化产生的活性醛并维持细胞稳态；板栗主产区常面临季节性极端温度、干旱和土壤盐碱化，ALDH基因家族的鉴定为板栗醛解毒与抗逆遗传改良提供基因储备，其中ALDH7家族在花生中已被证明响应盐碱胁迫。</t>
        </is>
      </c>
    </row>
    <row r="16">
      <c r="A16" s="2" t="n">
        <v>15</v>
      </c>
      <c r="B16" s="2" t="n">
        <v>4</v>
      </c>
      <c r="C16" s="2" t="inlineStr">
        <is>
          <t>004_2026_Genome-wide identification and alkaline stress response analysis of the class III peroxidase (PR.md</t>
        </is>
      </c>
      <c r="D16" s="2" t="inlineStr">
        <is>
          <t>板栗III类过氧化物酶（PRX）基因家族全基因组鉴定与碱胁迫响应分析</t>
        </is>
      </c>
      <c r="E16" s="2" t="inlineStr">
        <is>
          <t>基因组与基因家族</t>
        </is>
      </c>
      <c r="F16" s="2" t="inlineStr">
        <is>
          <t>基础研究</t>
        </is>
      </c>
      <c r="G16" s="2" t="inlineStr">
        <is>
          <t>板栗PRX基因家族规模与扩张机制</t>
        </is>
      </c>
      <c r="H16" s="2" t="inlineStr">
        <is>
          <t>首次全基因组鉴定板栗III类过氧化物酶家族：98个CmPRX基因分布于12条染色体、8个亚族（第4亚族43个最多，第6亚族仅2个）；串联重复为扩张主要动力（41个基因，41.84%），Chr4、Chr6、Chr8形成4个串联重复簇；59.18%蛋白为碱性（pI&gt;7）、86.69%亲水、脂肪指数均&gt;70（3/4以上超80）呈高热稳定性，96个定位于细胞壁、质体或液泡；78.57%基因仅含3-4个外显子，紧凑结构利于胁迫下快速转录。</t>
        </is>
      </c>
    </row>
    <row r="17">
      <c r="A17" s="2" t="n">
        <v>16</v>
      </c>
      <c r="B17" s="2" t="n">
        <v>4</v>
      </c>
      <c r="C17" s="2" t="inlineStr">
        <is>
          <t>004_2026_Genome-wide identification and alkaline stress response analysis of the class III peroxidase (PR.md</t>
        </is>
      </c>
      <c r="D17" s="2" t="inlineStr">
        <is>
          <t>板栗III类过氧化物酶（PRX）基因家族全基因组鉴定与碱胁迫响应分析</t>
        </is>
      </c>
      <c r="E17" s="2" t="inlineStr">
        <is>
          <t>基因组与基因家族</t>
        </is>
      </c>
      <c r="F17" s="2" t="inlineStr">
        <is>
          <t>土壤肥料</t>
        </is>
      </c>
      <c r="G17" s="2" t="inlineStr">
        <is>
          <t>碱胁迫对板栗幼苗的生理伤害</t>
        </is>
      </c>
      <c r="H17" s="2" t="inlineStr">
        <is>
          <t>板栗适应微酸环境、对碱胁迫敏感。用0.02 g/L和0.5 g/L Na2CO3浇灌'燕山早峰'盆栽苗7天后，叶片SOD活性显著下降，CAT活性和MDA（膜脂过氧化标志物）含量在低浓度（0.02 g/L）下即显著升高，脯氨酸含量呈下降趋势，表明碱胁迫引发离子毒害、高pH伤害和氧化爆发，破坏叶绿体结构并抑制作物产量，碱化土壤种植板栗需谨慎评估。</t>
        </is>
      </c>
    </row>
    <row r="18">
      <c r="A18" s="2" t="n">
        <v>17</v>
      </c>
      <c r="B18" s="2" t="n">
        <v>4</v>
      </c>
      <c r="C18" s="2" t="inlineStr">
        <is>
          <t>004_2026_Genome-wide identification and alkaline stress response analysis of the class III peroxidase (PR.md</t>
        </is>
      </c>
      <c r="D18" s="2" t="inlineStr">
        <is>
          <t>板栗III类过氧化物酶（PRX）基因家族全基因组鉴定与碱胁迫响应分析</t>
        </is>
      </c>
      <c r="E18" s="2" t="inlineStr">
        <is>
          <t>基因组与基因家族</t>
        </is>
      </c>
      <c r="F18" s="2" t="inlineStr">
        <is>
          <t>基础研究</t>
        </is>
      </c>
      <c r="G18" s="2" t="inlineStr">
        <is>
          <t>碱胁迫转录响应与关键共表达模块</t>
        </is>
      </c>
      <c r="H18" s="2" t="inlineStr">
        <is>
          <t>碱胁迫共诱导2126个差异基因（低浓度360上调/331下调，高浓度552上调/796下调），富集于植物-病原互作、苯丙烷生物合成和MAPK信号通路，高浓度下激素信号转导和过氧化氢代谢通路也被激活；WGCNA获14个模块，blue模块与SOD（r=0.81, p=8.1e-3）、脯氨酸（r=0.88, p=1.7e-3）正相关、与MDA（r=-0.75）负相关，green模块相反（与MDA r=0.92），19个CmPRX基因位于这两个关键模块。</t>
        </is>
      </c>
    </row>
    <row r="19">
      <c r="A19" s="2" t="n">
        <v>18</v>
      </c>
      <c r="B19" s="2" t="n">
        <v>4</v>
      </c>
      <c r="C19" s="2" t="inlineStr">
        <is>
          <t>004_2026_Genome-wide identification and alkaline stress response analysis of the class III peroxidase (PR.md</t>
        </is>
      </c>
      <c r="D19" s="2" t="inlineStr">
        <is>
          <t>板栗III类过氧化物酶（PRX）基因家族全基因组鉴定与碱胁迫响应分析</t>
        </is>
      </c>
      <c r="E19" s="2" t="inlineStr">
        <is>
          <t>基因组与基因家族</t>
        </is>
      </c>
      <c r="F19" s="2" t="inlineStr">
        <is>
          <t>繁殖育种</t>
        </is>
      </c>
      <c r="G19" s="2" t="inlineStr">
        <is>
          <t>耐碱候选基因与表达-生理关联</t>
        </is>
      </c>
      <c r="H19" s="2" t="inlineStr">
        <is>
          <t>CmPRX52l、CmPRX53c、CmPRX52k随碱胁迫加重显著上调（CmPRX53c FPKM由12.99倍增至24.02，CmPRX52k由2.82增至8.06约3倍），CmPRX12、CmPRX47n、CmPRX67a、CmPRX51b下调（CmPRX47n由66.43降至11.37）；CmPRX52g表达与SOD活性显著正相关、CmPRX10a与CAT活性极显著正相关、CmPRX72c与MDA负相关，这些基因可作为板栗耐碱性改良和耐碱品种筛选的分子候选。</t>
        </is>
      </c>
    </row>
    <row r="20">
      <c r="A20" s="2" t="n">
        <v>19</v>
      </c>
      <c r="B20" s="2" t="n">
        <v>4</v>
      </c>
      <c r="C20" s="2" t="inlineStr">
        <is>
          <t>004_2026_Genome-wide identification and alkaline stress response analysis of the class III peroxidase (PR.md</t>
        </is>
      </c>
      <c r="D20" s="2" t="inlineStr">
        <is>
          <t>板栗III类过氧化物酶（PRX）基因家族全基因组鉴定与碱胁迫响应分析</t>
        </is>
      </c>
      <c r="E20" s="2" t="inlineStr">
        <is>
          <t>基因组与基因家族</t>
        </is>
      </c>
      <c r="F20" s="2" t="inlineStr">
        <is>
          <t>基础研究</t>
        </is>
      </c>
      <c r="G20" s="2" t="inlineStr">
        <is>
          <t>串联重复与木质化功能簇</t>
        </is>
      </c>
      <c r="H20" s="2" t="inlineStr">
        <is>
          <t>Chr4上的PRX基因簇与拟南芥AtPrx47（与茎组织支持强度相关）同支；Chr6上7个成员（CmPRX53b、53d、59a-59e）与AtPrx53（次生细胞壁木质化）和AtPrx59（细胞壁重塑加固）聚为一支，推测参与板栗细胞壁木质化与机械强化，串联重复增加了木质化相关基因拷贝数，与多年生木本对木质素合成和细胞壁强度的高需求相适应。</t>
        </is>
      </c>
    </row>
    <row r="21">
      <c r="A21" s="2" t="n">
        <v>20</v>
      </c>
      <c r="B21" s="2" t="n">
        <v>5</v>
      </c>
      <c r="C21" s="2" t="inlineStr">
        <is>
          <t>005_2026_Genome-wide identification and characterization of the GRX gene family in _i_Castanea mollissima.md</t>
        </is>
      </c>
      <c r="D21" s="2" t="inlineStr">
        <is>
          <t>板栗谷氧还蛋白（GRX）基因家族全基因组鉴定及其在非生物胁迫下的特征分析</t>
        </is>
      </c>
      <c r="E21" s="2" t="inlineStr">
        <is>
          <t>基因组与基因家族</t>
        </is>
      </c>
      <c r="F21" s="2" t="inlineStr">
        <is>
          <t>基础研究</t>
        </is>
      </c>
      <c r="G21" s="2" t="inlineStr">
        <is>
          <t>板栗GRX基因家族组成与演化特征</t>
        </is>
      </c>
      <c r="H21" s="2" t="inlineStr">
        <is>
          <t>首次全基因组鉴定板栗谷氧还蛋白家族：32个CmGRX基因分布于12条染色体和1个scaffold，分属CPYC（5个）、CGFS（14个）和陆生植物特有的CC型（13个）三个亚族；与拟南芥（31个）相比板栗CGFS亚族显著扩张、CC亚族收缩，呈谱系特异性适应性演化；分散复制是主要扩张机制（18个，56.25%），串联复制仅3个；5对共线基因Ka/Ks为0.053-0.266，受强纯化选择。家族成员数与拟南芥（31）、辣椒（35）相近，远小于棉花（127）和香蕉（64）。</t>
        </is>
      </c>
    </row>
    <row r="22">
      <c r="A22" s="2" t="n">
        <v>21</v>
      </c>
      <c r="B22" s="2" t="n">
        <v>5</v>
      </c>
      <c r="C22" s="2" t="inlineStr">
        <is>
          <t>005_2026_Genome-wide identification and characterization of the GRX gene family in _i_Castanea mollissima.md</t>
        </is>
      </c>
      <c r="D22" s="2" t="inlineStr">
        <is>
          <t>板栗谷氧还蛋白（GRX）基因家族全基因组鉴定及其在非生物胁迫下的特征分析</t>
        </is>
      </c>
      <c r="E22" s="2" t="inlineStr">
        <is>
          <t>基因组与基因家族</t>
        </is>
      </c>
      <c r="F22" s="2" t="inlineStr">
        <is>
          <t>基础研究</t>
        </is>
      </c>
      <c r="G22" s="2" t="inlineStr">
        <is>
          <t>CmGRX在温度胁迫下的表达响应</t>
        </is>
      </c>
      <c r="H22" s="2" t="inlineStr">
        <is>
          <t>高温（45°C）下多数CmGRX表达受抑：CmROXY12和CmROXY6的FPKM分别由24.61和32.95骤降至0.15和7.39，且两基因在盐、碱胁迫下也呈平行下调，提示其通过ABA/MYB共同通路响应多重胁迫；低温（-15°C）下CmGrxS16j呈脉冲式剧增（5小时峰值FPKM 517.83）后回落，CmGrxC2、CmGrxS16a、CmGrxS17上调，为低温适应关键基因；CmGrxS17受温度胁迫上调，与拟南芥AtGrxS17（参与热胁迫下Fe-S簇装配与ROS清除）功能同源，推断其在板栗热适应中发挥作用。</t>
        </is>
      </c>
    </row>
    <row r="23">
      <c r="A23" s="2" t="n">
        <v>22</v>
      </c>
      <c r="B23" s="2" t="n">
        <v>5</v>
      </c>
      <c r="C23" s="2" t="inlineStr">
        <is>
          <t>005_2026_Genome-wide identification and characterization of the GRX gene family in _i_Castanea mollissima.md</t>
        </is>
      </c>
      <c r="D23" s="2" t="inlineStr">
        <is>
          <t>板栗谷氧还蛋白（GRX）基因家族全基因组鉴定及其在非生物胁迫下的特征分析</t>
        </is>
      </c>
      <c r="E23" s="2" t="inlineStr">
        <is>
          <t>基因组与基因家族</t>
        </is>
      </c>
      <c r="F23" s="2" t="inlineStr">
        <is>
          <t>栽培管理</t>
        </is>
      </c>
      <c r="G23" s="2" t="inlineStr">
        <is>
          <t>遮荫胁迫响应基因与林下光环境</t>
        </is>
      </c>
      <c r="H23" s="2" t="inlineStr">
        <is>
          <t>CmGrxS16j和CmGrxS17表达随遮荫强度（50%、75%、90%）递增而持续上调，提示二者参与板栗弱光条件下的代谢调控；CmGrxS16j兼具低温脉冲响应与遮荫持续诱导特性，可作为评价板栗苗木耐荫性的候选分子指标，对林下间作、密植园光环境管理有参考价值。</t>
        </is>
      </c>
    </row>
    <row r="24">
      <c r="A24" s="2" t="n">
        <v>23</v>
      </c>
      <c r="B24" s="2" t="n">
        <v>5</v>
      </c>
      <c r="C24" s="2" t="inlineStr">
        <is>
          <t>005_2026_Genome-wide identification and characterization of the GRX gene family in _i_Castanea mollissima.md</t>
        </is>
      </c>
      <c r="D24" s="2" t="inlineStr">
        <is>
          <t>板栗谷氧还蛋白（GRX）基因家族全基因组鉴定及其在非生物胁迫下的特征分析</t>
        </is>
      </c>
      <c r="E24" s="2" t="inlineStr">
        <is>
          <t>基因组与基因家族</t>
        </is>
      </c>
      <c r="F24" s="2" t="inlineStr">
        <is>
          <t>基础研究</t>
        </is>
      </c>
      <c r="G24" s="2" t="inlineStr">
        <is>
          <t>CmGRX的转录调控网络与功能推断</t>
        </is>
      </c>
      <c r="H24" s="2" t="inlineStr">
        <is>
          <t>32个CmGRX启动子含47类773个顺式作用元件（ABA响应ABRE、干旱诱导MBS、厌氧ARE、光响应Box4/G-box、茉莉酸CGTCA/TGACG等），预测611个转录因子（43家族）参与调控，ERF、MYB、NAC为核心；CmGrxS16h、CmGrxS15、CmGrxS14、CmROXY6为受多个TF调控的hub基因；启动子元件与表达模式对应（如CmGrxS16a含LTR/ABRE/MBS且冷胁迫上调）；CC型成员CmROXY12/6与拟南芥经TGA转录因子介导的胁迫调控途径同源，CPYC型CmGrxC2在低温下显著下调，参与低温氧化还原反应。</t>
        </is>
      </c>
    </row>
    <row r="25">
      <c r="A25" s="2" t="n">
        <v>24</v>
      </c>
      <c r="B25" s="2" t="n">
        <v>6</v>
      </c>
      <c r="C25" s="2" t="inlineStr">
        <is>
          <t>006_2026_Genome-wide identification of the _i_CmHDZ__i_ gene family in Chinese chestnut (_i_Castanea moll.md</t>
        </is>
      </c>
      <c r="D25" s="2" t="inlineStr">
        <is>
          <t>板栗CmHDZ基因家族全基因组鉴定及其在不同类型非生物胁迫下的表达模式分析</t>
        </is>
      </c>
      <c r="E25" s="2" t="inlineStr">
        <is>
          <t>基因组与基因家族</t>
        </is>
      </c>
      <c r="F25" s="2" t="inlineStr">
        <is>
          <t>基础研究</t>
        </is>
      </c>
      <c r="G25" s="2" t="inlineStr">
        <is>
          <t>板栗CmHDZ基因家族组成</t>
        </is>
      </c>
      <c r="H25" s="2" t="inlineStr">
        <is>
          <t>首次在板栗全基因组中鉴定出25个CmHDZ基因（为已报道植物中最少），其中24个分布于12条染色体，分为HDZ I（13个）、II（7个）、III（4个）、IV（1个）四个亚家族；HDZ IV仅1个成员提示板栗进化中发生大量基因丢失，全部蛋白均含高度保守的同源域。</t>
        </is>
      </c>
    </row>
    <row r="26">
      <c r="A26" s="2" t="n">
        <v>25</v>
      </c>
      <c r="B26" s="2" t="n">
        <v>6</v>
      </c>
      <c r="C26" s="2" t="inlineStr">
        <is>
          <t>006_2026_Genome-wide identification of the _i_CmHDZ__i_ gene family in Chinese chestnut (_i_Castanea moll.md</t>
        </is>
      </c>
      <c r="D26" s="2" t="inlineStr">
        <is>
          <t>板栗CmHDZ基因家族全基因组鉴定及其在不同类型非生物胁迫下的表达模式分析</t>
        </is>
      </c>
      <c r="E26" s="2" t="inlineStr">
        <is>
          <t>基因组与基因家族</t>
        </is>
      </c>
      <c r="F26" s="2" t="inlineStr">
        <is>
          <t>基础研究</t>
        </is>
      </c>
      <c r="G26" s="2" t="inlineStr">
        <is>
          <t>CmHDZ15为逆境响应核心候选基因</t>
        </is>
      </c>
      <c r="H26" s="2" t="inlineStr">
        <is>
          <t>CmHDZ15在遮荫、低温（-15°C）和高温（45°C）三种处理下表达量均显著变化（遮荫下先升后降、低温下逐渐升高、高温下先降后升，qPCR验证），蛋白定位于细胞核，与拟南芥AtHB5、AtHB6、AtHB16亲缘关系近，是板栗非生物胁迫响应研究的重点候选基因。</t>
        </is>
      </c>
    </row>
    <row r="27">
      <c r="A27" s="2" t="n">
        <v>26</v>
      </c>
      <c r="B27" s="2" t="n">
        <v>6</v>
      </c>
      <c r="C27" s="2" t="inlineStr">
        <is>
          <t>006_2026_Genome-wide identification of the _i_CmHDZ__i_ gene family in Chinese chestnut (_i_Castanea moll.md</t>
        </is>
      </c>
      <c r="D27" s="2" t="inlineStr">
        <is>
          <t>板栗CmHDZ基因家族全基因组鉴定及其在不同类型非生物胁迫下的表达模式分析</t>
        </is>
      </c>
      <c r="E27" s="2" t="inlineStr">
        <is>
          <t>基因组与基因家族</t>
        </is>
      </c>
      <c r="F27" s="2" t="inlineStr">
        <is>
          <t>基础研究</t>
        </is>
      </c>
      <c r="G27" s="2" t="inlineStr">
        <is>
          <t>CmHDZ启动子调控元件特征</t>
        </is>
      </c>
      <c r="H27" s="2" t="inlineStr">
        <is>
          <t>25个CmHDZ基因启动子区共预测到485个顺式作用元件，全部基因含激素响应（ABRE、MeJA响应CGTCA/TGACG等）和胁迫响应元件；抗氧化响应元件ARE最丰富（存在于除CmHDZ9、CmHDZ19外的所有基因中），其次为G-box和ABRE，表明其表达受光、激素和逆境共同调控。</t>
        </is>
      </c>
    </row>
    <row r="28">
      <c r="A28" s="2" t="n">
        <v>27</v>
      </c>
      <c r="B28" s="2" t="n">
        <v>6</v>
      </c>
      <c r="C28" s="2" t="inlineStr">
        <is>
          <t>006_2026_Genome-wide identification of the _i_CmHDZ__i_ gene family in Chinese chestnut (_i_Castanea moll.md</t>
        </is>
      </c>
      <c r="D28" s="2" t="inlineStr">
        <is>
          <t>板栗CmHDZ基因家族全基因组鉴定及其在不同类型非生物胁迫下的表达模式分析</t>
        </is>
      </c>
      <c r="E28" s="2" t="inlineStr">
        <is>
          <t>基因组与基因家族</t>
        </is>
      </c>
      <c r="F28" s="2" t="inlineStr">
        <is>
          <t>基础研究</t>
        </is>
      </c>
      <c r="G28" s="2" t="inlineStr">
        <is>
          <t>CmHDZ家族进化与复制机制</t>
        </is>
      </c>
      <c r="H28" s="2" t="inlineStr">
        <is>
          <t>12个CmHDZ基因形成8对同源基因，全部Ka/Ks小于0.3，经历强纯化选择；近端复制和串联重复类型完全丢失，片段复制是家族扩张的主要驱动力；板栗与橡树、锥栗、欧洲栗等壳斗科物种同源基因对最多（39-40对），与单子叶植物水稻（10对）、玉米（9对）最少。</t>
        </is>
      </c>
    </row>
    <row r="29">
      <c r="A29" s="2" t="n">
        <v>28</v>
      </c>
      <c r="B29" s="2" t="n">
        <v>7</v>
      </c>
      <c r="C29" s="2" t="inlineStr">
        <is>
          <t>007_2026_Genome-wide identification of the _i_HSF__i_ gene family in Chinese chestnut and functional char.md</t>
        </is>
      </c>
      <c r="D29" s="2" t="inlineStr">
        <is>
          <t>板栗HSF基因家族全基因组鉴定及CmHSF4在温度胁迫下的功能鉴定</t>
        </is>
      </c>
      <c r="E29" s="2" t="inlineStr">
        <is>
          <t>基因组与基因家族</t>
        </is>
      </c>
      <c r="F29" s="2" t="inlineStr">
        <is>
          <t>基础研究</t>
        </is>
      </c>
      <c r="G29" s="2" t="inlineStr">
        <is>
          <t>板栗HSF基因家族组成</t>
        </is>
      </c>
      <c r="H29" s="2" t="inlineStr">
        <is>
          <t>首次在板栗全基因组鉴定出18个CmHSF基因，不均匀分布于12条染色体（1号和7号染色体各4个最多），分A、B、C三个亚家族，A类最多（12个，占70.59%），与拟南芥等模式植物分布规律一致；片段复制是家族扩张主要动力，Ka/Ks小于0.3表明经历强纯化选择。</t>
        </is>
      </c>
    </row>
    <row r="30">
      <c r="A30" s="2" t="n">
        <v>29</v>
      </c>
      <c r="B30" s="2" t="n">
        <v>7</v>
      </c>
      <c r="C30" s="2" t="inlineStr">
        <is>
          <t>007_2026_Genome-wide identification of the _i_HSF__i_ gene family in Chinese chestnut and functional char.md</t>
        </is>
      </c>
      <c r="D30" s="2" t="inlineStr">
        <is>
          <t>板栗HSF基因家族全基因组鉴定及CmHSF4在温度胁迫下的功能鉴定</t>
        </is>
      </c>
      <c r="E30" s="2" t="inlineStr">
        <is>
          <t>基因组与基因家族</t>
        </is>
      </c>
      <c r="F30" s="2" t="inlineStr">
        <is>
          <t>基础研究</t>
        </is>
      </c>
      <c r="G30" s="2" t="inlineStr">
        <is>
          <t>CmHSF4为板栗高温响应核心候选基因</t>
        </is>
      </c>
      <c r="H30" s="2" t="inlineStr">
        <is>
          <t>CmHSF4在45°C高温处理4小时时表达量剧增324倍，是全家族中响应高温变化最剧烈的基因；蛋白定位于细胞核，与已知增强拟南芥耐热性的AtHsfA2进化关系密切，推测其可直接激活热保护基因（如HSPs、GolS），是板栗耐热分子育种的重要候选基因。</t>
        </is>
      </c>
    </row>
    <row r="31">
      <c r="A31" s="2" t="n">
        <v>30</v>
      </c>
      <c r="B31" s="2" t="n">
        <v>7</v>
      </c>
      <c r="C31" s="2" t="inlineStr">
        <is>
          <t>007_2026_Genome-wide identification of the _i_HSF__i_ gene family in Chinese chestnut and functional char.md</t>
        </is>
      </c>
      <c r="D31" s="2" t="inlineStr">
        <is>
          <t>板栗HSF基因家族全基因组鉴定及CmHSF4在温度胁迫下的功能鉴定</t>
        </is>
      </c>
      <c r="E31" s="2" t="inlineStr">
        <is>
          <t>基因组与基因家族</t>
        </is>
      </c>
      <c r="F31" s="2" t="inlineStr">
        <is>
          <t>栽培管理</t>
        </is>
      </c>
      <c r="G31" s="2" t="inlineStr">
        <is>
          <t>ABA信号参与板栗热激响应调控</t>
        </is>
      </c>
      <c r="H31" s="2" t="inlineStr">
        <is>
          <t>全部18个CmHSF基因启动子均含ABRE元件，该元件既是ABA信号响应元件也是高温信号响应元件，表明ABA信号深度参与板栗HSF基因的转录调控；启动子还富含低温响应LTR和缺氧响应ARE元件，提示激素处理可能诱导板栗耐热性提高。</t>
        </is>
      </c>
    </row>
    <row r="32">
      <c r="A32" s="2" t="n">
        <v>31</v>
      </c>
      <c r="B32" s="2" t="n">
        <v>7</v>
      </c>
      <c r="C32" s="2" t="inlineStr">
        <is>
          <t>007_2026_Genome-wide identification of the _i_HSF__i_ gene family in Chinese chestnut and functional char.md</t>
        </is>
      </c>
      <c r="D32" s="2" t="inlineStr">
        <is>
          <t>板栗HSF基因家族全基因组鉴定及CmHSF4在温度胁迫下的功能鉴定</t>
        </is>
      </c>
      <c r="E32" s="2" t="inlineStr">
        <is>
          <t>基因组与基因家族</t>
        </is>
      </c>
      <c r="F32" s="2" t="inlineStr">
        <is>
          <t>基础研究</t>
        </is>
      </c>
      <c r="G32" s="2" t="inlineStr">
        <is>
          <t>CmHSF基因胁迫表达功能分工</t>
        </is>
      </c>
      <c r="H32" s="2" t="inlineStr">
        <is>
          <t>5个CmHSF基因（CmHSF3、5、8、9、10）在遮荫、低温、高温、干旱各胁迫处理下表达接近于零，其余12个基因表达相对较高且模式各异：高温下3个基因持续下调、6个持续上调，遮荫下6个随遮荫强度增加下调、7个上调，显示家族内存在明显的胁迫响应功能分工。</t>
        </is>
      </c>
    </row>
    <row r="33">
      <c r="A33" s="2" t="n">
        <v>32</v>
      </c>
      <c r="B33" s="2" t="n">
        <v>8</v>
      </c>
      <c r="C33" s="2" t="inlineStr">
        <is>
          <t>008_2026_Identification of Fungal Pathogens of Chinese Chestnut Fruit Rot and Analysis of Resistance Diff.md</t>
        </is>
      </c>
      <c r="D33" s="2" t="inlineStr">
        <is>
          <t>板栗果实腐烂病真菌病原鉴定与主栽品种抗性差异分析</t>
        </is>
      </c>
      <c r="E33" s="2" t="inlineStr">
        <is>
          <t>病虫害防治</t>
        </is>
      </c>
      <c r="F33" s="2" t="inlineStr">
        <is>
          <t>病虫害防治</t>
        </is>
      </c>
      <c r="G33" s="2" t="inlineStr">
        <is>
          <t>板栗果腐主要病原菌种类</t>
        </is>
      </c>
      <c r="H33" s="2" t="inlineStr">
        <is>
          <t>河北燕山产区板栗果实腐烂主要由6种真菌引起：Diaporthe eres（间座壳，分离频率最高达48.6%，国内首次报道危害板栗果腐）、Talaromyces rugulosus（皱褶篮状菌）、Alternaria alternata（链格孢）、Mucor circinelloides（卷枝毛霉）、Fusarium proliferatum（层出镰刀菌）、Rhizopus stolonifer（匍枝根霉），伤口接种发病率均达100%。</t>
        </is>
      </c>
    </row>
    <row r="34">
      <c r="A34" s="2" t="n">
        <v>33</v>
      </c>
      <c r="B34" s="2" t="n">
        <v>8</v>
      </c>
      <c r="C34" s="2" t="inlineStr">
        <is>
          <t>008_2026_Identification of Fungal Pathogens of Chinese Chestnut Fruit Rot and Analysis of Resistance Diff.md</t>
        </is>
      </c>
      <c r="D34" s="2" t="inlineStr">
        <is>
          <t>板栗果实腐烂病真菌病原鉴定与主栽品种抗性差异分析</t>
        </is>
      </c>
      <c r="E34" s="2" t="inlineStr">
        <is>
          <t>病虫害防治</t>
        </is>
      </c>
      <c r="F34" s="2" t="inlineStr">
        <is>
          <t>病虫害防治</t>
        </is>
      </c>
      <c r="G34" s="2" t="inlineStr">
        <is>
          <t>病原菌致病力强弱排序</t>
        </is>
      </c>
      <c r="H34" s="2" t="inlineStr">
        <is>
          <t>致病力测定显示卷枝毛霉（M. circinelloides）和层出镰刀菌（F. proliferatum）致病力最强，引起大面积灰白霉层软腐或深褐色坏死斑；链格孢和匍枝根霉致病力中等（局部褐斑）；D. eres和皱褶篮状菌致病力相对较弱（接种点小病斑），防控上应优先防范毛霉和镰刀菌类污染。</t>
        </is>
      </c>
    </row>
    <row r="35">
      <c r="A35" s="2" t="n">
        <v>34</v>
      </c>
      <c r="B35" s="2" t="n">
        <v>8</v>
      </c>
      <c r="C35" s="2" t="inlineStr">
        <is>
          <t>008_2026_Identification of Fungal Pathogens of Chinese Chestnut Fruit Rot and Analysis of Resistance Diff.md</t>
        </is>
      </c>
      <c r="D35" s="2" t="inlineStr">
        <is>
          <t>板栗果实腐烂病真菌病原鉴定与主栽品种抗性差异分析</t>
        </is>
      </c>
      <c r="E35" s="2" t="inlineStr">
        <is>
          <t>病虫害防治</t>
        </is>
      </c>
      <c r="F35" s="2" t="inlineStr">
        <is>
          <t>品种选择</t>
        </is>
      </c>
      <c r="G35" s="2" t="inlineStr">
        <is>
          <t>品种间贮藏腐烂抗性差异显著</t>
        </is>
      </c>
      <c r="H35" s="2" t="inlineStr">
        <is>
          <t>6个燕山主栽品种中燕光YG、燕山硕丰YSSF、大板红DBH抗病耐贮，4°C贮藏180天腐烂率仅1.67%-5.27%，混合接种下YG病情指数最低（32.96）；燕京YJ高度感病（腐烂率47.71%，病情指数70.50），燕山早丰（25.67%）和X19-94（20.64%）中等感病，生产上耐贮性差的品种应优先销售、避免长期贮藏。</t>
        </is>
      </c>
    </row>
    <row r="36">
      <c r="A36" s="2" t="n">
        <v>35</v>
      </c>
      <c r="B36" s="2" t="n">
        <v>8</v>
      </c>
      <c r="C36" s="2" t="inlineStr">
        <is>
          <t>008_2026_Identification of Fungal Pathogens of Chinese Chestnut Fruit Rot and Analysis of Resistance Diff.md</t>
        </is>
      </c>
      <c r="D36" s="2" t="inlineStr">
        <is>
          <t>板栗果实腐烂病真菌病原鉴定与主栽品种抗性差异分析</t>
        </is>
      </c>
      <c r="E36" s="2" t="inlineStr">
        <is>
          <t>病虫害防治</t>
        </is>
      </c>
      <c r="F36" s="2" t="inlineStr">
        <is>
          <t>采收贮藏</t>
        </is>
      </c>
      <c r="G36" s="2" t="inlineStr">
        <is>
          <t>果仁糖分组成与抗病性相关</t>
        </is>
      </c>
      <c r="H36" s="2" t="inlineStr">
        <is>
          <t>病情指数与果仁蔗糖、山梨醇含量极显著负相关（p&lt;0.01，r&lt;-0.5），与水苏糖、果糖含量极显著正相关（r&gt;0.5），与果实硬度无显著相关；高蔗糖/山梨醇品种抗病性强，果糖和水苏糖含量高更利于病原扩展，可通过选育高蔗糖、山梨醇品种或采后维持有利糖分组成来增强抗腐性。</t>
        </is>
      </c>
    </row>
    <row r="37">
      <c r="A37" s="2" t="n">
        <v>36</v>
      </c>
      <c r="B37" s="2" t="n">
        <v>8</v>
      </c>
      <c r="C37" s="2" t="inlineStr">
        <is>
          <t>008_2026_Identification of Fungal Pathogens of Chinese Chestnut Fruit Rot and Analysis of Resistance Diff.md</t>
        </is>
      </c>
      <c r="D37" s="2" t="inlineStr">
        <is>
          <t>板栗果实腐烂病真菌病原鉴定与主栽品种抗性差异分析</t>
        </is>
      </c>
      <c r="E37" s="2" t="inlineStr">
        <is>
          <t>病虫害防治</t>
        </is>
      </c>
      <c r="F37" s="2" t="inlineStr">
        <is>
          <t>病虫害防治</t>
        </is>
      </c>
      <c r="G37" s="2" t="inlineStr">
        <is>
          <t>潜伏侵染与采前采后综合防控</t>
        </is>
      </c>
      <c r="H37" s="2" t="inlineStr">
        <is>
          <t>6种病原菌均可从表面消毒后的健康果仁中分离到，表明病原在采收前已建立潜伏侵染或经伤口、自然孔口（皮孔、珠孔）侵染，贮藏期果实生理状态改变后发病；减少采收和贮运中的机械损伤与虫伤、结合采前健康管理和及时采后处理是防控果腐的关键。</t>
        </is>
      </c>
    </row>
    <row r="38">
      <c r="A38" s="2" t="n">
        <v>37</v>
      </c>
      <c r="B38" s="2" t="n">
        <v>9</v>
      </c>
      <c r="C38" s="2" t="inlineStr">
        <is>
          <t>009_2025_Characterization of DnaJ gene family in Castanea mollissima and functional analysis of CmDnaJ27 .md</t>
        </is>
      </c>
      <c r="D38" s="2" t="inlineStr">
        <is>
          <t>板栗DnaJ基因家族鉴定及CmDnaJ27在冷、热胁迫下的功能分析</t>
        </is>
      </c>
      <c r="E38" s="2" t="inlineStr">
        <is>
          <t>基因组与基因家族</t>
        </is>
      </c>
      <c r="F38" s="2" t="inlineStr">
        <is>
          <t>基础研究</t>
        </is>
      </c>
      <c r="G38" s="2" t="inlineStr">
        <is>
          <t>板栗DnaJ基因家族组成与进化</t>
        </is>
      </c>
      <c r="H38" s="2" t="inlineStr">
        <is>
          <t>首次在板栗基因组鉴定出78个CmDnaJ（HSP40辅伴侣）基因，分DJA（4个）、DJB（6个）、DJC（68个）三个亚家族，DJC类占绝大多数；散布复制（62个基因）是家族扩张的主要驱动力；全部成员含含HPD三肽核心的保守J结构域，是与HSP70互作的关键结构。</t>
        </is>
      </c>
    </row>
    <row r="39">
      <c r="A39" s="2" t="n">
        <v>38</v>
      </c>
      <c r="B39" s="2" t="n">
        <v>9</v>
      </c>
      <c r="C39" s="2" t="inlineStr">
        <is>
          <t>009_2025_Characterization of DnaJ gene family in Castanea mollissima and functional analysis of CmDnaJ27 .md</t>
        </is>
      </c>
      <c r="D39" s="2" t="inlineStr">
        <is>
          <t>板栗DnaJ基因家族鉴定及CmDnaJ27在冷、热胁迫下的功能分析</t>
        </is>
      </c>
      <c r="E39" s="2" t="inlineStr">
        <is>
          <t>基因组与基因家族</t>
        </is>
      </c>
      <c r="F39" s="2" t="inlineStr">
        <is>
          <t>基础研究</t>
        </is>
      </c>
      <c r="G39" s="2" t="inlineStr">
        <is>
          <t>CmDnaJ27负调控耐冷耐热性</t>
        </is>
      </c>
      <c r="H39" s="2" t="inlineStr">
        <is>
          <t>CmDnaJ27在45°C高温下表达量剧增（FPKM从12.35升至4h的1666.40，增幅超130倍），-15°C低温下也显著上调，蛋白定位于细胞核和细胞质；但烟草过表达CmDnaJ27显著降低植株耐冷耐热性——冷/热处理后转基因株系H2O2、MDA、超氧阴离子含量显著高于野生型，气孔导度和PSII实际光化学效率下降，属温度胁迫耐受性的负调控因子。</t>
        </is>
      </c>
    </row>
    <row r="40">
      <c r="A40" s="2" t="n">
        <v>39</v>
      </c>
      <c r="B40" s="2" t="n">
        <v>9</v>
      </c>
      <c r="C40" s="2" t="inlineStr">
        <is>
          <t>009_2025_Characterization of DnaJ gene family in Castanea mollissima and functional analysis of CmDnaJ27 .md</t>
        </is>
      </c>
      <c r="D40" s="2" t="inlineStr">
        <is>
          <t>板栗DnaJ基因家族鉴定及CmDnaJ27在冷、热胁迫下的功能分析</t>
        </is>
      </c>
      <c r="E40" s="2" t="inlineStr">
        <is>
          <t>基因组与基因家族</t>
        </is>
      </c>
      <c r="F40" s="2" t="inlineStr">
        <is>
          <t>繁殖育种</t>
        </is>
      </c>
      <c r="G40" s="2" t="inlineStr">
        <is>
          <t>DnaJ基因与胚珠败育和种仁发育关联</t>
        </is>
      </c>
      <c r="H40" s="2" t="inlineStr">
        <is>
          <t>CmDnaJ7仅在败育胚珠发育各期高表达而在可育胚珠中几乎不表达，提示其可能与板栗胚珠败育（影响出实率）有关；CmDnaJ34在燕山早丰和燕龙两品种种仁发育全程持续高表达且随发育递增，CmDnaJ21在几乎所有组织中高表达，是种子发育相关的重要基因。</t>
        </is>
      </c>
    </row>
    <row r="41">
      <c r="A41" s="2" t="n">
        <v>40</v>
      </c>
      <c r="B41" s="2" t="n">
        <v>9</v>
      </c>
      <c r="C41" s="2" t="inlineStr">
        <is>
          <t>009_2025_Characterization of DnaJ gene family in Castanea mollissima and functional analysis of CmDnaJ27 .md</t>
        </is>
      </c>
      <c r="D41" s="2" t="inlineStr">
        <is>
          <t>板栗DnaJ基因家族鉴定及CmDnaJ27在冷、热胁迫下的功能分析</t>
        </is>
      </c>
      <c r="E41" s="2" t="inlineStr">
        <is>
          <t>基因组与基因家族</t>
        </is>
      </c>
      <c r="F41" s="2" t="inlineStr">
        <is>
          <t>病虫害防治</t>
        </is>
      </c>
      <c r="G41" s="2" t="inlineStr">
        <is>
          <t>DnaJ基因响应干旱与栗瘿蜂危害</t>
        </is>
      </c>
      <c r="H41" s="2" t="inlineStr">
        <is>
          <t>CmDnaJ21在燕山早丰和大板红干旱处理全程持续高表达（FPKM大于200）且随干旱延长持续上升，启动子富含MBS干旱响应、MeJA和ABA响应元件，可能参与板栗抗旱；栗瘿蜂（Dryocosmus kuriphilus）危害下CmDnaJ29随危害进程显著上调，CmDnaJ77在部分抗虫品种树禾无应栗中的表达显著高于感虫品种红栗。</t>
        </is>
      </c>
    </row>
    <row r="42">
      <c r="A42" s="2" t="n">
        <v>41</v>
      </c>
      <c r="B42" s="2" t="n">
        <v>9</v>
      </c>
      <c r="C42" s="2" t="inlineStr">
        <is>
          <t>009_2025_Characterization of DnaJ gene family in Castanea mollissima and functional analysis of CmDnaJ27 .md</t>
        </is>
      </c>
      <c r="D42" s="2" t="inlineStr">
        <is>
          <t>板栗DnaJ基因家族鉴定及CmDnaJ27在冷、热胁迫下的功能分析</t>
        </is>
      </c>
      <c r="E42" s="2" t="inlineStr">
        <is>
          <t>基因组与基因家族</t>
        </is>
      </c>
      <c r="F42" s="2" t="inlineStr">
        <is>
          <t>基础研究</t>
        </is>
      </c>
      <c r="G42" s="2" t="inlineStr">
        <is>
          <t>WGCNA锁定温度胁迫响应模块</t>
        </is>
      </c>
      <c r="H42" s="2" t="inlineStr">
        <is>
          <t>利用前期转录组数据进行加权基因共表达网络分析（WGCNA），发现红模块与丙二醛（MDA）含量显著负相关，并富集于热激细胞响应和热胁迫适应等温度刺激响应通路，冷热胁迫显著诱导的CmDnaJ27和CmDnaJ34均位于该红模块，为板栗温度胁迫响应研究提供了基因筛选策略。</t>
        </is>
      </c>
    </row>
    <row r="43">
      <c r="A43" s="2" t="n">
        <v>42</v>
      </c>
      <c r="B43" s="2" t="n">
        <v>10</v>
      </c>
      <c r="C43" s="2" t="inlineStr">
        <is>
          <t>010_2025_Comprehensive Analysis of the ARF Gene Family Reveals Their Roles in Chinese Chestnut (Castanea .md</t>
        </is>
      </c>
      <c r="D43" s="2" t="inlineStr">
        <is>
          <t>板栗ARF基因家族综合分析及其在种仁发育中的作用</t>
        </is>
      </c>
      <c r="E43" s="2" t="inlineStr">
        <is>
          <t>基因组与基因家族</t>
        </is>
      </c>
      <c r="F43" s="2" t="inlineStr">
        <is>
          <t>采收贮藏</t>
        </is>
      </c>
      <c r="G43" s="2" t="inlineStr">
        <is>
          <t>板栗种仁发育与淀粉积累动态</t>
        </is>
      </c>
      <c r="H43" s="2" t="inlineStr">
        <is>
          <t>高淀粉品种兴隆4号种仁花后60天（S1）鲜重仅0.28g，花后100天（S5）达6.52g；纵径5.60→21.45mm、横径10.40→28.85mm，S3-S4（花后80-90天）间膨大最快；总淀粉从548.25 mg/g（占干重54.83%）增至640.74 mg/g，以支链淀粉为主（419.38→500.25 mg/g），直链淀粉128.87→140.49 mg/g；花后100天刺苞开裂为成熟采收标志。</t>
        </is>
      </c>
    </row>
    <row r="44">
      <c r="A44" s="2" t="n">
        <v>43</v>
      </c>
      <c r="B44" s="2" t="n">
        <v>10</v>
      </c>
      <c r="C44" s="2" t="inlineStr">
        <is>
          <t>010_2025_Comprehensive Analysis of the ARF Gene Family Reveals Their Roles in Chinese Chestnut (Castanea .md</t>
        </is>
      </c>
      <c r="D44" s="2" t="inlineStr">
        <is>
          <t>板栗ARF基因家族综合分析及其在种仁发育中的作用</t>
        </is>
      </c>
      <c r="E44" s="2" t="inlineStr">
        <is>
          <t>基因组与基因家族</t>
        </is>
      </c>
      <c r="F44" s="2" t="inlineStr">
        <is>
          <t>基础研究</t>
        </is>
      </c>
      <c r="G44" s="2" t="inlineStr">
        <is>
          <t>种仁淀粉合成酶活性变化规律</t>
        </is>
      </c>
      <c r="H44" s="2" t="inlineStr">
        <is>
          <t>颗粒结合淀粉合酶GBSS活性在发育早期（S1、S2）最高、成熟期（S5）降至最低，与支链淀粉/直链淀粉比值升高相符（GBSS主要负责直链淀粉合成）；AGPase和SBE活性随发育总体上升（SBE在S5回落），负责支链淀粉合成与分支；SSS活性在S3显著低于其他时期，这些动态共同解释了成熟期总淀粉净积累。</t>
        </is>
      </c>
    </row>
    <row r="45">
      <c r="A45" s="2" t="n">
        <v>44</v>
      </c>
      <c r="B45" s="2" t="n">
        <v>10</v>
      </c>
      <c r="C45" s="2" t="inlineStr">
        <is>
          <t>010_2025_Comprehensive Analysis of the ARF Gene Family Reveals Their Roles in Chinese Chestnut (Castanea .md</t>
        </is>
      </c>
      <c r="D45" s="2" t="inlineStr">
        <is>
          <t>板栗ARF基因家族综合分析及其在种仁发育中的作用</t>
        </is>
      </c>
      <c r="E45" s="2" t="inlineStr">
        <is>
          <t>基因组与基因家族</t>
        </is>
      </c>
      <c r="F45" s="2" t="inlineStr">
        <is>
          <t>基础研究</t>
        </is>
      </c>
      <c r="G45" s="2" t="inlineStr">
        <is>
          <t>板栗ARF基因家族特征</t>
        </is>
      </c>
      <c r="H45" s="2" t="inlineStr">
        <is>
          <t>首次系统鉴定板栗ARF基因家族18个成员，分4组（Ia 6个、Ib 6个、III 4个、II 2个），数量与葡萄（19个）、梅（17个）、桃（17个）相近；散布复制占66.67%是家族扩张主要动力；Ka/Ks均小于1经历纯化选择；除CmARF6b定位于细胞核和细胞质外其余均为细胞核定位；CmARF5b和CmARF5c处于蛋白互作网络核心枢纽位置。</t>
        </is>
      </c>
    </row>
    <row r="46">
      <c r="A46" s="2" t="n">
        <v>45</v>
      </c>
      <c r="B46" s="2" t="n">
        <v>10</v>
      </c>
      <c r="C46" s="2" t="inlineStr">
        <is>
          <t>010_2025_Comprehensive Analysis of the ARF Gene Family Reveals Their Roles in Chinese Chestnut (Castanea .md</t>
        </is>
      </c>
      <c r="D46" s="2" t="inlineStr">
        <is>
          <t>板栗ARF基因家族综合分析及其在种仁发育中的作用</t>
        </is>
      </c>
      <c r="E46" s="2" t="inlineStr">
        <is>
          <t>基因组与基因家族</t>
        </is>
      </c>
      <c r="F46" s="2" t="inlineStr">
        <is>
          <t>繁殖育种</t>
        </is>
      </c>
      <c r="G46" s="2" t="inlineStr">
        <is>
          <t>CmARF5a和CmARF18抑制淀粉积累</t>
        </is>
      </c>
      <c r="H46" s="2" t="inlineStr">
        <is>
          <t>CmARF5a和CmARF18表达与总淀粉、支链淀粉、直链淀粉含量呈极显著负相关（p&lt;0.01），随种仁成熟表达量大幅下降（CmARF5a从FPKM 31.32降至4.52），推测二者是淀粉积累的关键抑制因子；其表达与SSS、GBSS、AGPase、SBE等核心淀粉合成基因无直接相关，提示通过碳分配或光合等上游间接途径调控，为高淀粉板栗品种分子育种提供新靶点。</t>
        </is>
      </c>
    </row>
    <row r="47">
      <c r="A47" s="2" t="n">
        <v>46</v>
      </c>
      <c r="B47" s="2" t="n">
        <v>10</v>
      </c>
      <c r="C47" s="2" t="inlineStr">
        <is>
          <t>010_2025_Comprehensive Analysis of the ARF Gene Family Reveals Their Roles in Chinese Chestnut (Castanea .md</t>
        </is>
      </c>
      <c r="D47" s="2" t="inlineStr">
        <is>
          <t>板栗ARF基因家族综合分析及其在种仁发育中的作用</t>
        </is>
      </c>
      <c r="E47" s="2" t="inlineStr">
        <is>
          <t>基因组与基因家族</t>
        </is>
      </c>
      <c r="F47" s="2" t="inlineStr">
        <is>
          <t>繁殖育种</t>
        </is>
      </c>
      <c r="G47" s="2" t="inlineStr">
        <is>
          <t>与种仁大小相关的ARF基因</t>
        </is>
      </c>
      <c r="H47" s="2" t="inlineStr">
        <is>
          <t>CmARF9、CmARF5b、CmARF2c、CmARF4表达与种仁鲜重及纵、横、侧径显著负相关（成熟期CmARF9表达从FPKM 59.88降至7.58），与已知抑制器官生长的ARF功能一致；CmARF16a/16b启动子富含胚乳表达、分生组织表达和赤霉素响应元件，与其拟南芥同源基因AtARF16抑制胚轴伸长的功能相符。</t>
        </is>
      </c>
    </row>
    <row r="48">
      <c r="A48" s="2" t="n">
        <v>47</v>
      </c>
      <c r="B48" s="2" t="n">
        <v>11</v>
      </c>
      <c r="C48" s="2" t="inlineStr">
        <is>
          <t>011_2025_Evaluation of In Vivo and In Vitro Toxicity of Chestnut (_i_Castanea mollissima__i_ Blume) Plant.md</t>
        </is>
      </c>
      <c r="D48" s="2" t="inlineStr">
        <is>
          <t>板栗植物体内与体外毒性评价：斑马鱼胚胎发育毒性、细胞毒性、抗氧化活性及LC-ESI-MS/MS植物化学成分分析</t>
        </is>
      </c>
      <c r="E48" s="2" t="inlineStr">
        <is>
          <t>生物活性与功效</t>
        </is>
      </c>
      <c r="F48" s="2" t="inlineStr">
        <is>
          <t>加工利用</t>
        </is>
      </c>
      <c r="G48" s="2" t="inlineStr">
        <is>
          <t>栗壳多酚主要成分</t>
        </is>
      </c>
      <c r="H48" s="2" t="inlineStr">
        <is>
          <t>LC-ESI-MS/MS（MRM法）鉴定板栗栗壳水提物中儿茶素含量最高（12798.886 mg/kg），其次为没食子酸（1967.430 mg/kg）、花旗松素（866.314 mg/kg）、白杨素（105.968 mg/kg），这些多酚与抗癌、心血管保护和神经保护活性密切相关</t>
        </is>
      </c>
    </row>
    <row r="49">
      <c r="A49" s="2" t="n">
        <v>48</v>
      </c>
      <c r="B49" s="2" t="n">
        <v>11</v>
      </c>
      <c r="C49" s="2" t="inlineStr">
        <is>
          <t>011_2025_Evaluation of In Vivo and In Vitro Toxicity of Chestnut (_i_Castanea mollissima__i_ Blume) Plant.md</t>
        </is>
      </c>
      <c r="D49" s="2" t="inlineStr">
        <is>
          <t>板栗植物体内与体外毒性评价：斑马鱼胚胎发育毒性、细胞毒性、抗氧化活性及LC-ESI-MS/MS植物化学成分分析</t>
        </is>
      </c>
      <c r="E49" s="2" t="inlineStr">
        <is>
          <t>生物活性与功效</t>
        </is>
      </c>
      <c r="F49" s="2" t="inlineStr">
        <is>
          <t>营养功效</t>
        </is>
      </c>
      <c r="G49" s="2" t="inlineStr">
        <is>
          <t>栗壳提取物体外抗氧化能力</t>
        </is>
      </c>
      <c r="H49" s="2" t="inlineStr">
        <is>
          <t>栗壳水提物ABTS自由基清除IC50为3.89 μg/mL（优于BHT的4.98 μg/mL和抗坏血酸的27.72 μg/mL），DPPH清除IC50为12.60 μg/mL（接近BHA的9.76 μg/mL）；Fe3+、Cu2+和FRAP还原力均超过α-生育酚、Trolox和抗坏血酸，是优良的天然抗氧化来源</t>
        </is>
      </c>
    </row>
    <row r="50">
      <c r="A50" s="2" t="n">
        <v>49</v>
      </c>
      <c r="B50" s="2" t="n">
        <v>11</v>
      </c>
      <c r="C50" s="2" t="inlineStr">
        <is>
          <t>011_2025_Evaluation of In Vivo and In Vitro Toxicity of Chestnut (_i_Castanea mollissima__i_ Blume) Plant.md</t>
        </is>
      </c>
      <c r="D50" s="2" t="inlineStr">
        <is>
          <t>板栗植物体内与体外毒性评价：斑马鱼胚胎发育毒性、细胞毒性、抗氧化活性及LC-ESI-MS/MS植物化学成分分析</t>
        </is>
      </c>
      <c r="E50" s="2" t="inlineStr">
        <is>
          <t>生物活性与功效</t>
        </is>
      </c>
      <c r="F50" s="2" t="inlineStr">
        <is>
          <t>营养功效</t>
        </is>
      </c>
      <c r="G50" s="2" t="inlineStr">
        <is>
          <t>降糖与神经保护潜力</t>
        </is>
      </c>
      <c r="H50" s="2" t="inlineStr">
        <is>
          <t>栗壳水提物抑制α-葡萄糖苷酶的IC50为0.473 μg/mL（对照药阿卡波糖为22800 μM量级）、抑制乙酰胆碱酯酶AChE的IC50为0.307 μg/mL、抑制丁酰胆碱酯酶BChE的IC50为0.648 μg/mL，提示其具有辅助调节血糖和抗阿尔茨海默病的潜力</t>
        </is>
      </c>
    </row>
    <row r="51">
      <c r="A51" s="2" t="n">
        <v>50</v>
      </c>
      <c r="B51" s="2" t="n">
        <v>11</v>
      </c>
      <c r="C51" s="2" t="inlineStr">
        <is>
          <t>011_2025_Evaluation of In Vivo and In Vitro Toxicity of Chestnut (_i_Castanea mollissima__i_ Blume) Plant.md</t>
        </is>
      </c>
      <c r="D51" s="2" t="inlineStr">
        <is>
          <t>板栗植物体内与体外毒性评价：斑马鱼胚胎发育毒性、细胞毒性、抗氧化活性及LC-ESI-MS/MS植物化学成分分析</t>
        </is>
      </c>
      <c r="E51" s="2" t="inlineStr">
        <is>
          <t>生物活性与功效</t>
        </is>
      </c>
      <c r="F51" s="2" t="inlineStr">
        <is>
          <t>营养功效</t>
        </is>
      </c>
      <c r="G51" s="2" t="inlineStr">
        <is>
          <t>对癌细胞的选择性毒性</t>
        </is>
      </c>
      <c r="H51" s="2" t="inlineStr">
        <is>
          <t>板栗水提物对前列腺癌细胞LnCaP毒性最强（EC50=64.1 μg/mL），对结肠癌CaCo-2（99.6）、乳腺癌MDA-MB-231（101.4）、肺癌A549（152 μg/mL）也有抑制作用，且对癌细胞的毒性高于正常细胞HUVEC（EC50=152 μg/mL），呈剂量依赖性</t>
        </is>
      </c>
    </row>
    <row r="52">
      <c r="A52" s="2" t="n">
        <v>51</v>
      </c>
      <c r="B52" s="2" t="n">
        <v>11</v>
      </c>
      <c r="C52" s="2" t="inlineStr">
        <is>
          <t>011_2025_Evaluation of In Vivo and In Vitro Toxicity of Chestnut (_i_Castanea mollissima__i_ Blume) Plant.md</t>
        </is>
      </c>
      <c r="D52" s="2" t="inlineStr">
        <is>
          <t>板栗植物体内与体外毒性评价：斑马鱼胚胎发育毒性、细胞毒性、抗氧化活性及LC-ESI-MS/MS植物化学成分分析</t>
        </is>
      </c>
      <c r="E52" s="2" t="inlineStr">
        <is>
          <t>生物活性与功效</t>
        </is>
      </c>
      <c r="F52" s="2" t="inlineStr">
        <is>
          <t>营养功效</t>
        </is>
      </c>
      <c r="G52" s="2" t="inlineStr">
        <is>
          <t>体内安全性（斑马鱼模型）</t>
        </is>
      </c>
      <c r="H52" s="2" t="inlineStr">
        <is>
          <t>低剂量（≤31.3 μg/mL）栗壳水提物对斑马鱼胚胎发育无不良影响，孵化率&gt;90%；最高剂量125 μg/mL组存活率降至76.7%（p&lt;0.0001）、孵化率显著下降，62.5和125 μg/mL组畸形率分别为11.7%和13.3%（表现为心包水肿、脊柱弯曲），说明常规低剂量使用安全</t>
        </is>
      </c>
    </row>
    <row r="53">
      <c r="A53" s="2" t="n">
        <v>52</v>
      </c>
      <c r="B53" s="2" t="n">
        <v>11</v>
      </c>
      <c r="C53" s="2" t="inlineStr">
        <is>
          <t>011_2025_Evaluation of In Vivo and In Vitro Toxicity of Chestnut (_i_Castanea mollissima__i_ Blume) Plant.md</t>
        </is>
      </c>
      <c r="D53" s="2" t="inlineStr">
        <is>
          <t>板栗植物体内与体外毒性评价：斑马鱼胚胎发育毒性、细胞毒性、抗氧化活性及LC-ESI-MS/MS植物化学成分分析</t>
        </is>
      </c>
      <c r="E53" s="2" t="inlineStr">
        <is>
          <t>生物活性与功效</t>
        </is>
      </c>
      <c r="F53" s="2" t="inlineStr">
        <is>
          <t>加工利用</t>
        </is>
      </c>
      <c r="G53" s="2" t="inlineStr">
        <is>
          <t>栗壳废弃资源高值化</t>
        </is>
      </c>
      <c r="H53" s="2" t="inlineStr">
        <is>
          <t>制栗糖果加工中废弃的栗壳可用简单水煮提取（100 g栗壳加500 mL蒸馏水煮1 h后冻干）制备富含多酚的提取物，兼具抗氧化与抑酶活性，可作为天然抗氧化添加剂用于食品（延长货架期）、化妆品和医药领域</t>
        </is>
      </c>
    </row>
    <row r="54">
      <c r="A54" s="2" t="n">
        <v>53</v>
      </c>
      <c r="B54" s="2" t="n">
        <v>12</v>
      </c>
      <c r="C54" s="2" t="inlineStr">
        <is>
          <t>012_2025_Genome-wide analysis of bHLH transcription factor family reveals their involvement in kernel dev.md</t>
        </is>
      </c>
      <c r="D54" s="2" t="inlineStr">
        <is>
          <t>板栗bHLH转录因子家族全基因组分析揭示其参与种仁发育与生物胁迫响应</t>
        </is>
      </c>
      <c r="E54" s="2" t="inlineStr">
        <is>
          <t>基因组与基因家族</t>
        </is>
      </c>
      <c r="F54" s="2" t="inlineStr">
        <is>
          <t>基础研究</t>
        </is>
      </c>
      <c r="G54" s="2" t="inlineStr">
        <is>
          <t>板栗bHLH基因家族首次鉴定</t>
        </is>
      </c>
      <c r="H54" s="2" t="inlineStr">
        <is>
          <t>全基因组水平鉴定出124个非冗余CmbHLH基因，分为8个亚族（I-VIII），编码蛋白长86-1241个氨基酸，分布于12条染色体和4个contig，存在CmbHLH68/99、CmbHLH47/52等串联重复，是板栗bHLH家族的首个系统研究</t>
        </is>
      </c>
    </row>
    <row r="55">
      <c r="A55" s="2" t="n">
        <v>54</v>
      </c>
      <c r="B55" s="2" t="n">
        <v>12</v>
      </c>
      <c r="C55" s="2" t="inlineStr">
        <is>
          <t>012_2025_Genome-wide analysis of bHLH transcription factor family reveals their involvement in kernel dev.md</t>
        </is>
      </c>
      <c r="D55" s="2" t="inlineStr">
        <is>
          <t>板栗bHLH转录因子家族全基因组分析揭示其参与种仁发育与生物胁迫响应</t>
        </is>
      </c>
      <c r="E55" s="2" t="inlineStr">
        <is>
          <t>基因组与基因家族</t>
        </is>
      </c>
      <c r="F55" s="2" t="inlineStr">
        <is>
          <t>基础研究</t>
        </is>
      </c>
      <c r="G55" s="2" t="inlineStr">
        <is>
          <t>种仁发育相关bHLH基因</t>
        </is>
      </c>
      <c r="H55" s="2" t="inlineStr">
        <is>
          <t>果实发育中124个CmbHLH有84个差异表达（log2|FC|≥1，p&lt;0.05）；CmbHLH4、7、16、38、59、64主要在果实发育早中期表达，CmbHLH11、13、15、25、93、101、122在后期高表达；共表达枢纽基因CmbHLH82和CmbHLH57随发育进程下调，qRT-PCR验证5个基因在种子发育第II期表达达峰</t>
        </is>
      </c>
    </row>
    <row r="56">
      <c r="A56" s="2" t="n">
        <v>55</v>
      </c>
      <c r="B56" s="2" t="n">
        <v>12</v>
      </c>
      <c r="C56" s="2" t="inlineStr">
        <is>
          <t>012_2025_Genome-wide analysis of bHLH transcription factor family reveals their involvement in kernel dev.md</t>
        </is>
      </c>
      <c r="D56" s="2" t="inlineStr">
        <is>
          <t>板栗bHLH转录因子家族全基因组分析揭示其参与种仁发育与生物胁迫响应</t>
        </is>
      </c>
      <c r="E56" s="2" t="inlineStr">
        <is>
          <t>基因组与基因家族</t>
        </is>
      </c>
      <c r="F56" s="2" t="inlineStr">
        <is>
          <t>病虫害防治</t>
        </is>
      </c>
      <c r="G56" s="2" t="inlineStr">
        <is>
          <t>栗瘿蜂侵染响应基因</t>
        </is>
      </c>
      <c r="H56" s="2" t="inlineStr">
        <is>
          <t>栗瘿蜂侵染下多数CmbHLH表达下调（15个基因持续下调，含CmbHLH42、163、164），CmbHLH63和CmbHLH51等21个基因上调，这些基因可能参与板栗对栗瘿蜂致瘿的生物胁迫抗性反应，可作为抗虫育种的候选基因</t>
        </is>
      </c>
    </row>
    <row r="57">
      <c r="A57" s="2" t="n">
        <v>56</v>
      </c>
      <c r="B57" s="2" t="n">
        <v>12</v>
      </c>
      <c r="C57" s="2" t="inlineStr">
        <is>
          <t>012_2025_Genome-wide analysis of bHLH transcription factor family reveals their involvement in kernel dev.md</t>
        </is>
      </c>
      <c r="D57" s="2" t="inlineStr">
        <is>
          <t>板栗bHLH转录因子家族全基因组分析揭示其参与种仁发育与生物胁迫响应</t>
        </is>
      </c>
      <c r="E57" s="2" t="inlineStr">
        <is>
          <t>基因组与基因家族</t>
        </is>
      </c>
      <c r="F57" s="2" t="inlineStr">
        <is>
          <t>基础研究</t>
        </is>
      </c>
      <c r="G57" s="2" t="inlineStr">
        <is>
          <t>bHLH启动子顺式元件特征</t>
        </is>
      </c>
      <c r="H57" s="2" t="inlineStr">
        <is>
          <t>CmbHLH启动子富含厌氧诱导（ARE）、干旱响应（MBS）、光响应及激素（茉莉酸TGACG-motif、水杨酸TCA、ABA）元件：45个成员含生长调节G-box，60个含多个MBS元件，CmbHLH_35含10个茉莉酸响应元件，预示bHLH基因在非生物胁迫和激素调控中作用多样</t>
        </is>
      </c>
    </row>
    <row r="58">
      <c r="A58" s="2" t="n">
        <v>57</v>
      </c>
      <c r="B58" s="2" t="n">
        <v>13</v>
      </c>
      <c r="C58" s="2" t="inlineStr">
        <is>
          <t>013_2025_Genome-wide identification of DNA-binding with one finger transcription factor genes in Chinese .md</t>
        </is>
      </c>
      <c r="D58" s="2" t="inlineStr">
        <is>
          <t>板栗Dof转录因子基因家族的全基因组鉴定及其对非生物胁迫的响应</t>
        </is>
      </c>
      <c r="E58" s="2" t="inlineStr">
        <is>
          <t>基因组与基因家族</t>
        </is>
      </c>
      <c r="F58" s="2" t="inlineStr">
        <is>
          <t>基础研究</t>
        </is>
      </c>
      <c r="G58" s="2" t="inlineStr">
        <is>
          <t>板栗Dof基因家族首次鉴定</t>
        </is>
      </c>
      <c r="H58" s="2" t="inlineStr">
        <is>
          <t>全基因组鉴定出25个CmDof基因（CmDof1-25），分5个进化分支，蛋白长167-530个氨基酸（18.68-57.87 kDa），均为亲水性核定位蛋白；基因内含子仅0-2个（32%无内含子），表明板栗Dof家族进化中发生了内含子丢失，属于低内含子基因家族</t>
        </is>
      </c>
    </row>
    <row r="59">
      <c r="A59" s="2" t="n">
        <v>58</v>
      </c>
      <c r="B59" s="2" t="n">
        <v>13</v>
      </c>
      <c r="C59" s="2" t="inlineStr">
        <is>
          <t>013_2025_Genome-wide identification of DNA-binding with one finger transcription factor genes in Chinese .md</t>
        </is>
      </c>
      <c r="D59" s="2" t="inlineStr">
        <is>
          <t>板栗Dof转录因子基因家族的全基因组鉴定及其对非生物胁迫的响应</t>
        </is>
      </c>
      <c r="E59" s="2" t="inlineStr">
        <is>
          <t>基因组与基因家族</t>
        </is>
      </c>
      <c r="F59" s="2" t="inlineStr">
        <is>
          <t>繁殖育种</t>
        </is>
      </c>
      <c r="G59" s="2" t="inlineStr">
        <is>
          <t>Dof基因响应温度与遮荫胁迫</t>
        </is>
      </c>
      <c r="H59" s="2" t="inlineStr">
        <is>
          <t>RT-qPCR证实9个CmDof对遮荫（0-95%遮光10天）、45℃高温（4-12 h）、-15℃低温（5-15 h）三种胁迫响应显著：Dof1、Dof6、Dof11、Dof20、Dof21在三种胁迫下均显著上调，Dof3、Dof17显著下调，Dof9在遮荫和低温下上调、高温下下调，可作为板栗耐逆育种候选基因</t>
        </is>
      </c>
    </row>
    <row r="60">
      <c r="A60" s="2" t="n">
        <v>59</v>
      </c>
      <c r="B60" s="2" t="n">
        <v>13</v>
      </c>
      <c r="C60" s="2" t="inlineStr">
        <is>
          <t>013_2025_Genome-wide identification of DNA-binding with one finger transcription factor genes in Chinese .md</t>
        </is>
      </c>
      <c r="D60" s="2" t="inlineStr">
        <is>
          <t>板栗Dof转录因子基因家族的全基因组鉴定及其对非生物胁迫的响应</t>
        </is>
      </c>
      <c r="E60" s="2" t="inlineStr">
        <is>
          <t>基因组与基因家族</t>
        </is>
      </c>
      <c r="F60" s="2" t="inlineStr">
        <is>
          <t>基础研究</t>
        </is>
      </c>
      <c r="G60" s="2" t="inlineStr">
        <is>
          <t>Dof基因与果实发育</t>
        </is>
      </c>
      <c r="H60" s="2" t="inlineStr">
        <is>
          <t>在授粉后70、82、94天的板栗果实转录组中，Group 3亚族成员表达量整体最高，其中CmDof1表达水平最高，提示Group 3亚族（尤其是CmDof1）在板栗果实发育过程中发挥重要作用</t>
        </is>
      </c>
    </row>
    <row r="61">
      <c r="A61" s="2" t="n">
        <v>60</v>
      </c>
      <c r="B61" s="2" t="n">
        <v>13</v>
      </c>
      <c r="C61" s="2" t="inlineStr">
        <is>
          <t>013_2025_Genome-wide identification of DNA-binding with one finger transcription factor genes in Chinese .md</t>
        </is>
      </c>
      <c r="D61" s="2" t="inlineStr">
        <is>
          <t>板栗Dof转录因子基因家族的全基因组鉴定及其对非生物胁迫的响应</t>
        </is>
      </c>
      <c r="E61" s="2" t="inlineStr">
        <is>
          <t>基因组与基因家族</t>
        </is>
      </c>
      <c r="F61" s="2" t="inlineStr">
        <is>
          <t>基础研究</t>
        </is>
      </c>
      <c r="G61" s="2" t="inlineStr">
        <is>
          <t>Dof启动子顺式元件特征</t>
        </is>
      </c>
      <c r="H61" s="2" t="inlineStr">
        <is>
          <t>CmDof启动子中光响应G-box元件占全部顺式元件的45.7%（20个基因含G-box，Dof4、Dof19、Dof24各含5个拷贝）；激素响应元件ABRE（ABA）和TGA-box（生长素）集中于Group 3，胁迫相关TC-rich重复（防御）和MBS（干旱）集中于Dof12和Dof22</t>
        </is>
      </c>
    </row>
    <row r="62">
      <c r="A62" s="2" t="n">
        <v>61</v>
      </c>
      <c r="B62" s="2" t="n">
        <v>13</v>
      </c>
      <c r="C62" s="2" t="inlineStr">
        <is>
          <t>013_2025_Genome-wide identification of DNA-binding with one finger transcription factor genes in Chinese .md</t>
        </is>
      </c>
      <c r="D62" s="2" t="inlineStr">
        <is>
          <t>板栗Dof转录因子基因家族的全基因组鉴定及其对非生物胁迫的响应</t>
        </is>
      </c>
      <c r="E62" s="2" t="inlineStr">
        <is>
          <t>基因组与基因家族</t>
        </is>
      </c>
      <c r="F62" s="2" t="inlineStr">
        <is>
          <t>产业市场</t>
        </is>
      </c>
      <c r="G62" s="2" t="inlineStr">
        <is>
          <t>中国板栗产业产量背景</t>
        </is>
      </c>
      <c r="H62" s="2" t="inlineStr">
        <is>
          <t>据FAO统计，2020年中国板栗坚果产量约160万吨，占全球板栗产量的83.3%，中国南方和北方均有广泛栽培，是兼具营养、抗病和耐旱特性的重要生态经济树种</t>
        </is>
      </c>
    </row>
    <row r="63">
      <c r="A63" s="2" t="n">
        <v>62</v>
      </c>
      <c r="B63" s="2" t="n">
        <v>14</v>
      </c>
      <c r="C63" s="2" t="inlineStr">
        <is>
          <t>014_2025_Genome-Wide Identification, Evolutionary Expansion, and Expression Analyses of Aux_IAA Gene Fami.md</t>
        </is>
      </c>
      <c r="D63" s="2" t="inlineStr">
        <is>
          <t>板栗Aux/IAA基因家族的全基因组鉴定、进化扩张与种仁发育期表达分析</t>
        </is>
      </c>
      <c r="E63" s="2" t="inlineStr">
        <is>
          <t>基因组与基因家族</t>
        </is>
      </c>
      <c r="F63" s="2" t="inlineStr">
        <is>
          <t>基础研究</t>
        </is>
      </c>
      <c r="G63" s="2" t="inlineStr">
        <is>
          <t>板栗Aux/IAA家族首次鉴定</t>
        </is>
      </c>
      <c r="H63" s="2" t="inlineStr">
        <is>
          <t>首次在板栗基因组鉴定23个CmAux/IAA基因，分4个亚族（I-IV），蛋白169-382个氨基酸（18.71-41.29 kDa），19个基因分布于7条染色体（1号和8号染色体最多各5个）；家族扩张主要由全基因组重复（WGD，10个基因）驱动并受纯化选择（Ka/Ks&lt;1），数量少于拟南芥（29）、苹果（33）、玉米（40）等物种</t>
        </is>
      </c>
    </row>
    <row r="64">
      <c r="A64" s="2" t="n">
        <v>63</v>
      </c>
      <c r="B64" s="2" t="n">
        <v>14</v>
      </c>
      <c r="C64" s="2" t="inlineStr">
        <is>
          <t>014_2025_Genome-Wide Identification, Evolutionary Expansion, and Expression Analyses of Aux_IAA Gene Fami.md</t>
        </is>
      </c>
      <c r="D64" s="2" t="inlineStr">
        <is>
          <t>板栗Aux/IAA基因家族的全基因组鉴定、进化扩张与种仁发育期表达分析</t>
        </is>
      </c>
      <c r="E64" s="2" t="inlineStr">
        <is>
          <t>基因组与基因家族</t>
        </is>
      </c>
      <c r="F64" s="2" t="inlineStr">
        <is>
          <t>栽培管理</t>
        </is>
      </c>
      <c r="G64" s="2" t="inlineStr">
        <is>
          <t>种仁膨大与淀粉积累关键期</t>
        </is>
      </c>
      <c r="H64" s="2" t="inlineStr">
        <is>
          <t>板栗'六月暴'种仁花后60-100天鲜重从0.78 g增至14.39 g，总淀粉从614.96 mg/g增至693.85 mg/g；种仁长宽厚、鲜重及总淀粉、支链淀粉、直链淀粉含量在花后60-70天（T1-T2）增速最快，是细胞分裂和淀粉快速积累的关键期；成熟种仁中支链淀粉含量为直链淀粉的3-4倍</t>
        </is>
      </c>
    </row>
    <row r="65">
      <c r="A65" s="2" t="n">
        <v>64</v>
      </c>
      <c r="B65" s="2" t="n">
        <v>14</v>
      </c>
      <c r="C65" s="2" t="inlineStr">
        <is>
          <t>014_2025_Genome-Wide Identification, Evolutionary Expansion, and Expression Analyses of Aux_IAA Gene Fami.md</t>
        </is>
      </c>
      <c r="D65" s="2" t="inlineStr">
        <is>
          <t>板栗Aux/IAA基因家族的全基因组鉴定、进化扩张与种仁发育期表达分析</t>
        </is>
      </c>
      <c r="E65" s="2" t="inlineStr">
        <is>
          <t>基因组与基因家族</t>
        </is>
      </c>
      <c r="F65" s="2" t="inlineStr">
        <is>
          <t>栽培管理</t>
        </is>
      </c>
      <c r="G65" s="2" t="inlineStr">
        <is>
          <t>种仁发育激素动态</t>
        </is>
      </c>
      <c r="H65" s="2" t="inlineStr">
        <is>
          <t>种仁GA含量从花后60天0.56 mg/g持续升至100天3.54 mg/g，且T4-T5期增速最快，促进种仁成熟；IAA含量在花后60天最高（12.13 ng/g）后骤降至70天的3.06 ng/g，提示生长素主要调控早期坐果与细胞分裂，后期果实膨大可能由GA、SA、JA、ABA等其他激素补偿驱动</t>
        </is>
      </c>
    </row>
    <row r="66">
      <c r="A66" s="2" t="n">
        <v>65</v>
      </c>
      <c r="B66" s="2" t="n">
        <v>14</v>
      </c>
      <c r="C66" s="2" t="inlineStr">
        <is>
          <t>014_2025_Genome-Wide Identification, Evolutionary Expansion, and Expression Analyses of Aux_IAA Gene Fami.md</t>
        </is>
      </c>
      <c r="D66" s="2" t="inlineStr">
        <is>
          <t>板栗Aux/IAA基因家族的全基因组鉴定、进化扩张与种仁发育期表达分析</t>
        </is>
      </c>
      <c r="E66" s="2" t="inlineStr">
        <is>
          <t>基因组与基因家族</t>
        </is>
      </c>
      <c r="F66" s="2" t="inlineStr">
        <is>
          <t>繁殖育种</t>
        </is>
      </c>
      <c r="G66" s="2" t="inlineStr">
        <is>
          <t>调控种仁大小的候选基因</t>
        </is>
      </c>
      <c r="H66" s="2" t="inlineStr">
        <is>
          <t>CmIAA27a/b/c与种仁鲜重呈显著负相关且随发育持续下调（CmIAA27b在T1期表达约为T5期的35倍），与蓝莓VcIAA27功能相似；CmIAA7a与鲜重极显著正相关，CmIAA31a与种仁大小、淀粉和激素含量显著正相关（T5期FPKM约为T1的52倍），经WGCNA绿松石模块和RT-qPCR验证，是大果品种分子育种的候选基因</t>
        </is>
      </c>
    </row>
    <row r="67">
      <c r="A67" s="2" t="n">
        <v>66</v>
      </c>
      <c r="B67" s="2" t="n">
        <v>14</v>
      </c>
      <c r="C67" s="2" t="inlineStr">
        <is>
          <t>014_2025_Genome-Wide Identification, Evolutionary Expansion, and Expression Analyses of Aux_IAA Gene Fami.md</t>
        </is>
      </c>
      <c r="D67" s="2" t="inlineStr">
        <is>
          <t>板栗Aux/IAA基因家族的全基因组鉴定、进化扩张与种仁发育期表达分析</t>
        </is>
      </c>
      <c r="E67" s="2" t="inlineStr">
        <is>
          <t>基因组与基因家族</t>
        </is>
      </c>
      <c r="F67" s="2" t="inlineStr">
        <is>
          <t>基础研究</t>
        </is>
      </c>
      <c r="G67" s="2" t="inlineStr">
        <is>
          <t>Aux/IAA基因与非生物胁迫</t>
        </is>
      </c>
      <c r="H67" s="2" t="inlineStr">
        <is>
          <t>45℃高温胁迫下大多数CmAux/IAA基因表达下调，其中CmIAA5和CmIAA16随处理时间延长显著下降；-15℃低温下CmIAA2b、CmIAA2c、CmIAA15、CmIAA29b在处理5-10 h短暂上调后于15 h下调；干旱胁迫下'燕山早丰'与'大板红'两品种间多数基因响应无显著差异</t>
        </is>
      </c>
    </row>
    <row r="68">
      <c r="A68" s="2" t="n">
        <v>67</v>
      </c>
      <c r="B68" s="2" t="n">
        <v>15</v>
      </c>
      <c r="C68" s="2" t="inlineStr">
        <is>
          <t>015_2025_Genome-wide identification, phylogeny, and expression analysis of PEBP gene family in Castanea m.md</t>
        </is>
      </c>
      <c r="D68" s="2" t="inlineStr">
        <is>
          <t>板栗PEBP基因家族的全基因组鉴定、系统发育与表达分析</t>
        </is>
      </c>
      <c r="E68" s="2" t="inlineStr">
        <is>
          <t>基因组与基因家族</t>
        </is>
      </c>
      <c r="F68" s="2" t="inlineStr">
        <is>
          <t>基础研究</t>
        </is>
      </c>
      <c r="G68" s="2" t="inlineStr">
        <is>
          <t>板栗PEBP基因家族首次鉴定</t>
        </is>
      </c>
      <c r="H68" s="2" t="inlineStr">
        <is>
          <t>首次鉴定板栗PEBP家族6个基因（CmPEBP1-6），分属FT-like（CmPEBP2）、TFL1-like（CmPEBP3/5/6）和MFT-like（CmPEBP1/4）三个亚族；均含4个外显子3个内含子，蛋白172-189个氨基酸，为胞质碱性亲水蛋白，该家族与开花时间、芽发育和休眠调控密切相关</t>
        </is>
      </c>
    </row>
    <row r="69">
      <c r="A69" s="2" t="n">
        <v>68</v>
      </c>
      <c r="B69" s="2" t="n">
        <v>15</v>
      </c>
      <c r="C69" s="2" t="inlineStr">
        <is>
          <t>015_2025_Genome-wide identification, phylogeny, and expression analysis of PEBP gene family in Castanea m.md</t>
        </is>
      </c>
      <c r="D69" s="2" t="inlineStr">
        <is>
          <t>板栗PEBP基因家族的全基因组鉴定、系统发育与表达分析</t>
        </is>
      </c>
      <c r="E69" s="2" t="inlineStr">
        <is>
          <t>基因组与基因家族</t>
        </is>
      </c>
      <c r="F69" s="2" t="inlineStr">
        <is>
          <t>基础研究</t>
        </is>
      </c>
      <c r="G69" s="2" t="inlineStr">
        <is>
          <t>PEBP基因与种仁发育</t>
        </is>
      </c>
      <c r="H69" s="2" t="inlineStr">
        <is>
          <t>CmPEBP1在'燕山早丰'和'燕龙'两个品种种仁成熟过程中表达显著上调（RT-qPCR显示花后100天达峰）；CmPEBP4在花后80-90天种仁发育中后期表达显著升高（FPKM&gt;450）后于100天显著回落；二者均为MFT-like亚族成员，参与板栗种仁（种子）发育成熟</t>
        </is>
      </c>
    </row>
    <row r="70">
      <c r="A70" s="2" t="n">
        <v>69</v>
      </c>
      <c r="B70" s="2" t="n">
        <v>15</v>
      </c>
      <c r="C70" s="2" t="inlineStr">
        <is>
          <t>015_2025_Genome-wide identification, phylogeny, and expression analysis of PEBP gene family in Castanea m.md</t>
        </is>
      </c>
      <c r="D70" s="2" t="inlineStr">
        <is>
          <t>板栗PEBP基因家族的全基因组鉴定、系统发育与表达分析</t>
        </is>
      </c>
      <c r="E70" s="2" t="inlineStr">
        <is>
          <t>基因组与基因家族</t>
        </is>
      </c>
      <c r="F70" s="2" t="inlineStr">
        <is>
          <t>基础研究</t>
        </is>
      </c>
      <c r="G70" s="2" t="inlineStr">
        <is>
          <t>PEBP1响应温度胁迫</t>
        </is>
      </c>
      <c r="H70" s="2" t="inlineStr">
        <is>
          <t>CmPEBP1在-15℃低温胁迫下持续显著上调（处理15 h达峰），在45℃高温胁迫下表达持续升高（12 h达峰），干旱处理下呈波动表达；其启动子含低温响应LTR和干旱响应MBS元件，是板栗响应温度胁迫的重要候选基因</t>
        </is>
      </c>
    </row>
    <row r="71">
      <c r="A71" s="2" t="n">
        <v>70</v>
      </c>
      <c r="B71" s="2" t="n">
        <v>15</v>
      </c>
      <c r="C71" s="2" t="inlineStr">
        <is>
          <t>015_2025_Genome-wide identification, phylogeny, and expression analysis of PEBP gene family in Castanea m.md</t>
        </is>
      </c>
      <c r="D71" s="2" t="inlineStr">
        <is>
          <t>板栗PEBP基因家族的全基因组鉴定、系统发育与表达分析</t>
        </is>
      </c>
      <c r="E71" s="2" t="inlineStr">
        <is>
          <t>基因组与基因家族</t>
        </is>
      </c>
      <c r="F71" s="2" t="inlineStr">
        <is>
          <t>病虫害防治</t>
        </is>
      </c>
      <c r="G71" s="2" t="inlineStr">
        <is>
          <t>PEBP1与栗瘿蜂抗性</t>
        </is>
      </c>
      <c r="H71" s="2" t="inlineStr">
        <is>
          <t>栗瘿蜂侵染形成的虫瘿起始期（4月7日）CmPEBP1显著上调，虫瘿组织中CmPEBP1表达显著高于叶片；感虫品种'红栗'虫瘿中CmPEBP1表达显著高于部分抗虫品种'Shuhe-Wuyingli'，提示CmPEBP1参与板栗对栗瘿蜂侵染的响应，可能与感抗性差异相关</t>
        </is>
      </c>
    </row>
    <row r="72">
      <c r="A72" s="2" t="n">
        <v>71</v>
      </c>
      <c r="B72" s="2" t="n">
        <v>15</v>
      </c>
      <c r="C72" s="2" t="inlineStr">
        <is>
          <t>015_2025_Genome-wide identification, phylogeny, and expression analysis of PEBP gene family in Castanea m.md</t>
        </is>
      </c>
      <c r="D72" s="2" t="inlineStr">
        <is>
          <t>板栗PEBP基因家族的全基因组鉴定、系统发育与表达分析</t>
        </is>
      </c>
      <c r="E72" s="2" t="inlineStr">
        <is>
          <t>基因组与基因家族</t>
        </is>
      </c>
      <c r="F72" s="2" t="inlineStr">
        <is>
          <t>基础研究</t>
        </is>
      </c>
      <c r="G72" s="2" t="inlineStr">
        <is>
          <t>PEBP家族进化保守性</t>
        </is>
      </c>
      <c r="H72" s="2" t="inlineStr">
        <is>
          <t>板栗PEBP家族扩张以分散重复为主（6个中4个）；CmPEBP3和CmPEBP5源自真双子叶共同六倍化（ECH）事件，其直系同源基因在拟南芥、栎、葡萄、梨、番茄、水稻、玉米等8个物种中均保留；CmPEBP5保留直系同源基因最多（梨3个、水稻4个），符合基因平衡假说，可能在PEBP家族进化中作用关键</t>
        </is>
      </c>
    </row>
    <row r="73">
      <c r="A73" s="2" t="n">
        <v>72</v>
      </c>
      <c r="B73" s="2" t="n">
        <v>16</v>
      </c>
      <c r="C73" s="2" t="inlineStr">
        <is>
          <t>016_2025_Identification and role of _i_CmLhcb2.1__i_ in regulating low-light stress resistance in Chinese.md</t>
        </is>
      </c>
      <c r="D73" s="2" t="inlineStr">
        <is>
          <t>板栗CmLhcb2.1基因的鉴定及其在调控低光胁迫抗性中的作用</t>
        </is>
      </c>
      <c r="E73" s="2" t="inlineStr">
        <is>
          <t>生理与分子机制</t>
        </is>
      </c>
      <c r="F73" s="2" t="inlineStr">
        <is>
          <t>栽培管理</t>
        </is>
      </c>
      <c r="G73" s="2" t="inlineStr">
        <is>
          <t>板栗低光胁迫的表型与生理响应</t>
        </is>
      </c>
      <c r="H73" s="2" t="inlineStr">
        <is>
          <t>'燕宝'两年生板栗苗经50%、75%、95%遮阴处理10天后，叶片边缘出现萎蔫、死亡等损伤，遮阴越重损伤越重；遮阴使叶片总叶绿素显著升高、叶绿素a显著下降，叶绿素b随遮阴强度递增而逐渐增加、叶色随之加深，这是植物适应弱光的典型生理策略。</t>
        </is>
      </c>
    </row>
    <row r="74">
      <c r="A74" s="2" t="n">
        <v>73</v>
      </c>
      <c r="B74" s="2" t="n">
        <v>16</v>
      </c>
      <c r="C74" s="2" t="inlineStr">
        <is>
          <t>016_2025_Identification and role of _i_CmLhcb2.1__i_ in regulating low-light stress resistance in Chinese.md</t>
        </is>
      </c>
      <c r="D74" s="2" t="inlineStr">
        <is>
          <t>板栗CmLhcb2.1基因的鉴定及其在调控低光胁迫抗性中的作用</t>
        </is>
      </c>
      <c r="E74" s="2" t="inlineStr">
        <is>
          <t>生理与分子机制</t>
        </is>
      </c>
      <c r="F74" s="2" t="inlineStr">
        <is>
          <t>基础研究</t>
        </is>
      </c>
      <c r="G74" s="2" t="inlineStr">
        <is>
          <t>板栗Lhca/b基因家族组成与进化</t>
        </is>
      </c>
      <c r="H74" s="2" t="inlineStr">
        <is>
          <t>首次在'N11-1'板栗基因组中鉴定出17个捕光叶绿素a/b结合蛋白（Lhca/b）基因家族成员，分为Lhca（7个）、Lhcb（6个）、CP24（1个）、CP26（1个）、CP29（2个）五个亚组；基因分布于11条染色体（5号染色体5个最多，7号无），家族扩张主要由转座重复（TRD）和全基因组复制（WGD）驱动，多数成员起源于单双子叶分化之后、壳斗科物种分化之前。</t>
        </is>
      </c>
    </row>
    <row r="75">
      <c r="A75" s="2" t="n">
        <v>74</v>
      </c>
      <c r="B75" s="2" t="n">
        <v>16</v>
      </c>
      <c r="C75" s="2" t="inlineStr">
        <is>
          <t>016_2025_Identification and role of _i_CmLhcb2.1__i_ in regulating low-light stress resistance in Chinese.md</t>
        </is>
      </c>
      <c r="D75" s="2" t="inlineStr">
        <is>
          <t>板栗CmLhcb2.1基因的鉴定及其在调控低光胁迫抗性中的作用</t>
        </is>
      </c>
      <c r="E75" s="2" t="inlineStr">
        <is>
          <t>生理与分子机制</t>
        </is>
      </c>
      <c r="F75" s="2" t="inlineStr">
        <is>
          <t>繁殖育种</t>
        </is>
      </c>
      <c r="G75" s="2" t="inlineStr">
        <is>
          <t>CmLhcb2.1基因功能与耐荫育种价值</t>
        </is>
      </c>
      <c r="H75" s="2" t="inlineStr">
        <is>
          <t>CmLhcb2.1是唯一在50%、75%、95%三种遮阴强度下均显著上调的Lhca/b成员（50%遮阴时表达最高）；在烟草中过表达后叶片更绿、叶绿素b显著增加，低光下电子传递速率（ETR）与光化学量子效率（ΦPSII）显著高于野生型、MDA含量显著更低，表明其通过促进叶绿素b合成增强低光抗性，可作为板栗耐荫品种选育的候选基因。</t>
        </is>
      </c>
    </row>
    <row r="76">
      <c r="A76" s="2" t="n">
        <v>75</v>
      </c>
      <c r="B76" s="2" t="n">
        <v>16</v>
      </c>
      <c r="C76" s="2" t="inlineStr">
        <is>
          <t>016_2025_Identification and role of _i_CmLhcb2.1__i_ in regulating low-light stress resistance in Chinese.md</t>
        </is>
      </c>
      <c r="D76" s="2" t="inlineStr">
        <is>
          <t>板栗CmLhcb2.1基因的鉴定及其在调控低光胁迫抗性中的作用</t>
        </is>
      </c>
      <c r="E76" s="2" t="inlineStr">
        <is>
          <t>生理与分子机制</t>
        </is>
      </c>
      <c r="F76" s="2" t="inlineStr">
        <is>
          <t>基础研究</t>
        </is>
      </c>
      <c r="G76" s="2" t="inlineStr">
        <is>
          <t>CmGLK对CmLhcb2.1的转录调控</t>
        </is>
      </c>
      <c r="H76" s="2" t="inlineStr">
        <is>
          <t>转录因子CmGLK定位于细胞核；共表达分析从上调基因簇中筛选出16个候选转录因子，其中10个与CmLhcb2.1表达显著正相关（含2个C2H2锌指、3个Dof、1个GLK、1个HD-ZIP、1个MADS、1个MYB、1个MYB-related）；酵母单杂交和双荧光素酶实验证实CmGLK能特异性结合CmLhcb2.1启动子并正调控其表达，阐明了'CmGLK-CmLhcb2.1-叶绿素b合成'的低光适应调控通路。</t>
        </is>
      </c>
    </row>
    <row r="77">
      <c r="A77" s="2" t="n">
        <v>76</v>
      </c>
      <c r="B77" s="2" t="n">
        <v>16</v>
      </c>
      <c r="C77" s="2" t="inlineStr">
        <is>
          <t>016_2025_Identification and role of _i_CmLhcb2.1__i_ in regulating low-light stress resistance in Chinese.md</t>
        </is>
      </c>
      <c r="D77" s="2" t="inlineStr">
        <is>
          <t>板栗CmLhcb2.1基因的鉴定及其在调控低光胁迫抗性中的作用</t>
        </is>
      </c>
      <c r="E77" s="2" t="inlineStr">
        <is>
          <t>生理与分子机制</t>
        </is>
      </c>
      <c r="F77" s="2" t="inlineStr">
        <is>
          <t>栽培管理</t>
        </is>
      </c>
      <c r="G77" s="2" t="inlineStr">
        <is>
          <t>低光不足与板栗低产的关系</t>
        </is>
      </c>
      <c r="H77" s="2" t="inlineStr">
        <is>
          <t>板栗是重要的木本粮食作物，主要生长在山区尤其是光照不足的阴坡，光合能力下降导致低产；本研究从分子层面证实板栗可通过提高叶绿素b比例适应弱光，提示生产上应重视园址光照条件、树形修剪透光，育种上可定向利用耐低光基因。</t>
        </is>
      </c>
    </row>
    <row r="78">
      <c r="A78" s="2" t="n">
        <v>77</v>
      </c>
      <c r="B78" s="2" t="n">
        <v>17</v>
      </c>
      <c r="C78" s="2" t="inlineStr">
        <is>
          <t>017_2025_Impact of Cooking Method on the Physicochemical Properties, Digestibility, and Sensory and Flavo.md</t>
        </is>
      </c>
      <c r="D78" s="2" t="inlineStr">
        <is>
          <t>烹饪方式对板栗理化性质、消化性及感官与风味特征的影响</t>
        </is>
      </c>
      <c r="E78" s="2" t="inlineStr">
        <is>
          <t>加工与贮藏</t>
        </is>
      </c>
      <c r="F78" s="2" t="inlineStr">
        <is>
          <t>加工利用</t>
        </is>
      </c>
      <c r="G78" s="2" t="inlineStr">
        <is>
          <t>烹饪方式对板栗质构与色泽的影响</t>
        </is>
      </c>
      <c r="H78" s="2" t="inlineStr">
        <is>
          <t>干热处理（炒180℃60min、糖炒、烤130℃40min）因失水使硬度、咀嚼性、内聚性和弹性升高，湿热处理（蒸、煮30min）因吸水和淀粉充分糊化形成软凝胶质地；煮制硬度最低（33.17N）、生栗最高（143.72N），硬度与咀嚼性正相关；干热样品失水加深美拉德反应使颜色变暗，蒸煮样品亮度（L*）相对较高。</t>
        </is>
      </c>
    </row>
    <row r="79">
      <c r="A79" s="2" t="n">
        <v>78</v>
      </c>
      <c r="B79" s="2" t="n">
        <v>17</v>
      </c>
      <c r="C79" s="2" t="inlineStr">
        <is>
          <t>017_2025_Impact of Cooking Method on the Physicochemical Properties, Digestibility, and Sensory and Flavo.md</t>
        </is>
      </c>
      <c r="D79" s="2" t="inlineStr">
        <is>
          <t>烹饪方式对板栗理化性质、消化性及感官与风味特征的影响</t>
        </is>
      </c>
      <c r="E79" s="2" t="inlineStr">
        <is>
          <t>加工与贮藏</t>
        </is>
      </c>
      <c r="F79" s="2" t="inlineStr">
        <is>
          <t>营养功效</t>
        </is>
      </c>
      <c r="G79" s="2" t="inlineStr">
        <is>
          <t>烹饪方式与板栗血糖生成指数</t>
        </is>
      </c>
      <c r="H79" s="2" t="inlineStr">
        <is>
          <t>烹饪显著提高板栗体外消化性和GI：生栗GI最低（52.49），蒸制最高（85.42，RDS达29.95%）、煮83.26、炒80.34、糖炒78.09，烤制最低（74.78，显著低于其他熟制方式）；所有熟制方式抗性淀粉（RS）显著下降，炒、煮降低50.82-54.17%；需要控制血糖的人群宜选择烤制板栗并注意食用量。</t>
        </is>
      </c>
    </row>
    <row r="80">
      <c r="A80" s="2" t="n">
        <v>79</v>
      </c>
      <c r="B80" s="2" t="n">
        <v>17</v>
      </c>
      <c r="C80" s="2" t="inlineStr">
        <is>
          <t>017_2025_Impact of Cooking Method on the Physicochemical Properties, Digestibility, and Sensory and Flavo.md</t>
        </is>
      </c>
      <c r="D80" s="2" t="inlineStr">
        <is>
          <t>烹饪方式对板栗理化性质、消化性及感官与风味特征的影响</t>
        </is>
      </c>
      <c r="E80" s="2" t="inlineStr">
        <is>
          <t>加工与贮藏</t>
        </is>
      </c>
      <c r="F80" s="2" t="inlineStr">
        <is>
          <t>加工利用</t>
        </is>
      </c>
      <c r="G80" s="2" t="inlineStr">
        <is>
          <t>烹饪方式与多酚含量及抗氧化活性</t>
        </is>
      </c>
      <c r="H80" s="2" t="inlineStr">
        <is>
          <t>热处理通过破坏细胞壁、释放酚类前体显著提高板栗多酚含量（熟后68.53-121.02 mg GAE/kg，生栗最低），糖炒最高（121.02 mg GAE/kg），其DPPH（218.91）、ABTS（170.74）、FRAP（494.51 µmol Trolox/kg）抗氧化活性也最强，与添加麦芽糖强化美拉德反应生成抗氧化产物有关。</t>
        </is>
      </c>
    </row>
    <row r="81">
      <c r="A81" s="2" t="n">
        <v>80</v>
      </c>
      <c r="B81" s="2" t="n">
        <v>17</v>
      </c>
      <c r="C81" s="2" t="inlineStr">
        <is>
          <t>017_2025_Impact of Cooking Method on the Physicochemical Properties, Digestibility, and Sensory and Flavo.md</t>
        </is>
      </c>
      <c r="D81" s="2" t="inlineStr">
        <is>
          <t>烹饪方式对板栗理化性质、消化性及感官与风味特征的影响</t>
        </is>
      </c>
      <c r="E81" s="2" t="inlineStr">
        <is>
          <t>加工与贮藏</t>
        </is>
      </c>
      <c r="F81" s="2" t="inlineStr">
        <is>
          <t>加工利用</t>
        </is>
      </c>
      <c r="G81" s="2" t="inlineStr">
        <is>
          <t>不同烹饪方式的特征风味差异</t>
        </is>
      </c>
      <c r="H81" s="2" t="inlineStr">
        <is>
          <t>糖炒板栗焦糖香与甜味显著强于普通炒制（美拉德反应Strecker降解产物3-甲基丁醛增多、麦芽糖增甜）；烘烤呈浓郁坚果香和明显脂香（己醛、(E)-2-己烯醛含量高，醛类总量达3297.48 µg/kg）；蒸、煮以果香和青香为主（乙酸乙酯、2-庚酮、2-戊基呋喃贡献大）；生栗青草味强（2-戊酮968.63 µg/kg、异戊酸84.44 µg/kg均为各处理最高）。</t>
        </is>
      </c>
    </row>
    <row r="82">
      <c r="A82" s="2" t="n">
        <v>81</v>
      </c>
      <c r="B82" s="2" t="n">
        <v>17</v>
      </c>
      <c r="C82" s="2" t="inlineStr">
        <is>
          <t>017_2025_Impact of Cooking Method on the Physicochemical Properties, Digestibility, and Sensory and Flavo.md</t>
        </is>
      </c>
      <c r="D82" s="2" t="inlineStr">
        <is>
          <t>烹饪方式对板栗理化性质、消化性及感官与风味特征的影响</t>
        </is>
      </c>
      <c r="E82" s="2" t="inlineStr">
        <is>
          <t>加工与贮藏</t>
        </is>
      </c>
      <c r="F82" s="2" t="inlineStr">
        <is>
          <t>基础研究</t>
        </is>
      </c>
      <c r="G82" s="2" t="inlineStr">
        <is>
          <t>板栗关键风味物质解析</t>
        </is>
      </c>
      <c r="H82" s="2" t="inlineStr">
        <is>
          <t>GC-IMS从不同烹饪板栗中共鉴定34种挥发性物质（醛8种、醇11种、酯4种、酮5种、酸1种、杂环4种及其他1种），结合OPLS-DA模型VIP&gt;1与ROAV&gt;1双重标准筛出8种关键风味化合物：己醛、(E)-2-己烯醛、3-甲基丁醛、3-甲基丁酸乙酯、乙酸乙酯、2-戊酮、3-羟基-2-丁酮、2-戊基呋喃，主要来源于美拉德反应和脂质氧化，是区分不同烹饪方式风味的基础。</t>
        </is>
      </c>
    </row>
    <row r="83">
      <c r="A83" s="2" t="n">
        <v>82</v>
      </c>
      <c r="B83" s="2" t="n">
        <v>17</v>
      </c>
      <c r="C83" s="2" t="inlineStr">
        <is>
          <t>017_2025_Impact of Cooking Method on the Physicochemical Properties, Digestibility, and Sensory and Flavo.md</t>
        </is>
      </c>
      <c r="D83" s="2" t="inlineStr">
        <is>
          <t>烹饪方式对板栗理化性质、消化性及感官与风味特征的影响</t>
        </is>
      </c>
      <c r="E83" s="2" t="inlineStr">
        <is>
          <t>加工与贮藏</t>
        </is>
      </c>
      <c r="F83" s="2" t="inlineStr">
        <is>
          <t>产业市场</t>
        </is>
      </c>
      <c r="G83" s="2" t="inlineStr">
        <is>
          <t>烹饪方式与消费者接受度及'燕宝'品种特性</t>
        </is>
      </c>
      <c r="H83" s="2" t="inlineStr">
        <is>
          <t>10人感官评价小组的整体喜好度排序为糖炒&gt;烘烤&gt;炒制&gt;蒸&gt;煮&gt;生栗，美拉德反应带来的焦糖香、坚果香和适度甜味更受欢迎；'燕宝'为晚熟优质品种，果仁淀粉27.10%、可溶性糖9.42%、蛋白10.50%、脂肪0.80%，富含多酚、黄酮、原花青素和三萜酸，熟后香甜糯，适合鲜食与加工。</t>
        </is>
      </c>
    </row>
    <row r="84">
      <c r="A84" s="2" t="n">
        <v>83</v>
      </c>
      <c r="B84" s="2" t="n">
        <v>18</v>
      </c>
      <c r="C84" s="2" t="inlineStr">
        <is>
          <t>018_2025_The in vitro anti-inflammatory and antioxidant activities of the extracts from leaves of Castane.md</t>
        </is>
      </c>
      <c r="D84" s="2" t="inlineStr">
        <is>
          <t>越南板栗叶提取物体外抗炎与抗氧化活性研究</t>
        </is>
      </c>
      <c r="E84" s="2" t="inlineStr">
        <is>
          <t>生物活性与功效</t>
        </is>
      </c>
      <c r="F84" s="2" t="inlineStr">
        <is>
          <t>营养功效</t>
        </is>
      </c>
      <c r="G84" s="2" t="inlineStr">
        <is>
          <t>板栗叶提取物抗炎活性</t>
        </is>
      </c>
      <c r="H84" s="2" t="inlineStr">
        <is>
          <t>越南重庆板栗叶甲醇总浸膏抑制RAW264.7巨噬细胞NO生成的IC50为20.2 µg/mL且无细胞毒性（细胞存活率79.41%）；乙酸乙酯分部活性最佳（IC50 18.5 µg/mL，50 µg/mL浓度下NO抑制率78.96%），正己烷部IC50 50.8 µg/mL，甲醇分部几乎无活性；阳性对照Cardamonin IC50为9.7 µM。</t>
        </is>
      </c>
    </row>
    <row r="85">
      <c r="A85" s="2" t="n">
        <v>84</v>
      </c>
      <c r="B85" s="2" t="n">
        <v>18</v>
      </c>
      <c r="C85" s="2" t="inlineStr">
        <is>
          <t>018_2025_The in vitro anti-inflammatory and antioxidant activities of the extracts from leaves of Castane.md</t>
        </is>
      </c>
      <c r="D85" s="2" t="inlineStr">
        <is>
          <t>越南板栗叶提取物体外抗炎与抗氧化活性研究</t>
        </is>
      </c>
      <c r="E85" s="2" t="inlineStr">
        <is>
          <t>生物活性与功效</t>
        </is>
      </c>
      <c r="F85" s="2" t="inlineStr">
        <is>
          <t>营养功效</t>
        </is>
      </c>
      <c r="G85" s="2" t="inlineStr">
        <is>
          <t>板栗叶提取物抗氧化活性</t>
        </is>
      </c>
      <c r="H85" s="2" t="inlineStr">
        <is>
          <t>DPPH实验中乙酸乙酯分部抗氧化最强（SC50=20.65 µg/mL，自由基清除率76.28%），总浸膏SC50=36.12 µg/mL，正己烷部51.35 µg/mL，甲醇部SC50&gt;100 µg/mL几乎无活性；抗坏血酸对照SC50为11.54 µg/mL；活性成分集中在弱极性与中等极性部位，提示后续成分研究应优先TKH和TKE。</t>
        </is>
      </c>
    </row>
    <row r="86">
      <c r="A86" s="2" t="n">
        <v>85</v>
      </c>
      <c r="B86" s="2" t="n">
        <v>18</v>
      </c>
      <c r="C86" s="2" t="inlineStr">
        <is>
          <t>018_2025_The in vitro anti-inflammatory and antioxidant activities of the extracts from leaves of Castane.md</t>
        </is>
      </c>
      <c r="D86" s="2" t="inlineStr">
        <is>
          <t>越南板栗叶提取物体外抗炎与抗氧化活性研究</t>
        </is>
      </c>
      <c r="E86" s="2" t="inlineStr">
        <is>
          <t>生物活性与功效</t>
        </is>
      </c>
      <c r="F86" s="2" t="inlineStr">
        <is>
          <t>营养功效</t>
        </is>
      </c>
      <c r="G86" s="2" t="inlineStr">
        <is>
          <t>板栗的传统药用价值</t>
        </is>
      </c>
      <c r="H86" s="2" t="inlineStr">
        <is>
          <t>越南传统医学中板栗茎叶用于治疗哮喘、骨折、化脓性疖肿和中耳炎；栗属植物提取物中已报道的黄酮类、酚类衍生物、单宁、酚酸、木脂素、生物碱、多糖、苷类等成分具良好生物活性。本研究首次以体外实验证实越南板栗叶提取物的抗炎与抗氧化功效，与传统用途相印证。</t>
        </is>
      </c>
    </row>
    <row r="87">
      <c r="A87" s="2" t="n">
        <v>86</v>
      </c>
      <c r="B87" s="2" t="n">
        <v>18</v>
      </c>
      <c r="C87" s="2" t="inlineStr">
        <is>
          <t>018_2025_The in vitro anti-inflammatory and antioxidant activities of the extracts from leaves of Castane.md</t>
        </is>
      </c>
      <c r="D87" s="2" t="inlineStr">
        <is>
          <t>越南板栗叶提取物体外抗炎与抗氧化活性研究</t>
        </is>
      </c>
      <c r="E87" s="2" t="inlineStr">
        <is>
          <t>生物活性与功效</t>
        </is>
      </c>
      <c r="F87" s="2" t="inlineStr">
        <is>
          <t>产业市场</t>
        </is>
      </c>
      <c r="G87" s="2" t="inlineStr">
        <is>
          <t>越南重庆板栗的产业背景</t>
        </is>
      </c>
      <c r="H87" s="2" t="inlineStr">
        <is>
          <t>越南高平省重庆县板栗以香甜糯、奶香风味著称，其水分、糖类、蛋白质含量与其他产区板栗明显不同，为获地理标志（GI）保护的著名特产；当地栗树易种易管、坚果经济价值高，但长期缺乏采后商品化加工的科学研究，坚果主要作为礼品和食品原料。</t>
        </is>
      </c>
    </row>
    <row r="88">
      <c r="A88" s="2" t="n">
        <v>87</v>
      </c>
      <c r="B88" s="2" t="n">
        <v>19</v>
      </c>
      <c r="C88" s="2" t="inlineStr">
        <is>
          <t>019_2025_The in Vitro Anti-Inflammatory and Antioxidant Activitites of the Bark Extracts from Castanea Mo.md</t>
        </is>
      </c>
      <c r="D88" s="2" t="inlineStr">
        <is>
          <t>越南板栗树皮提取物体外抗炎与抗氧化活性研究</t>
        </is>
      </c>
      <c r="E88" s="2" t="inlineStr">
        <is>
          <t>生物活性与功效</t>
        </is>
      </c>
      <c r="F88" s="2" t="inlineStr">
        <is>
          <t>营养功效</t>
        </is>
      </c>
      <c r="G88" s="2" t="inlineStr">
        <is>
          <t>板栗树皮提取物抗炎活性</t>
        </is>
      </c>
      <c r="H88" s="2" t="inlineStr">
        <is>
          <t>越南板栗树皮甲醇总浸膏抑制RAW264.7巨噬细胞NO生成的IC50约19.6-20.2 µg/mL且无细胞毒性（存活率79.41%）；乙酸乙酯分部活性最佳（IC50约17.4-18.5 µg/mL，50 µg/mL下NO抑制率78.96%），正己烷部约50.8 µg/mL，甲醇部几乎无活性；表明树皮抗炎成分主要存在于弱极性和中极性部位。</t>
        </is>
      </c>
    </row>
    <row r="89">
      <c r="A89" s="2" t="n">
        <v>88</v>
      </c>
      <c r="B89" s="2" t="n">
        <v>19</v>
      </c>
      <c r="C89" s="2" t="inlineStr">
        <is>
          <t>019_2025_The in Vitro Anti-Inflammatory and Antioxidant Activitites of the Bark Extracts from Castanea Mo.md</t>
        </is>
      </c>
      <c r="D89" s="2" t="inlineStr">
        <is>
          <t>越南板栗树皮提取物体外抗炎与抗氧化活性研究</t>
        </is>
      </c>
      <c r="E89" s="2" t="inlineStr">
        <is>
          <t>生物活性与功效</t>
        </is>
      </c>
      <c r="F89" s="2" t="inlineStr">
        <is>
          <t>营养功效</t>
        </is>
      </c>
      <c r="G89" s="2" t="inlineStr">
        <is>
          <t>板栗树皮提取物抗氧化活性</t>
        </is>
      </c>
      <c r="H89" s="2" t="inlineStr">
        <is>
          <t>DPPH实验中乙酸乙酯分部抗氧化最强（SC50约10.6-21.7 µg/mL），总浸膏次之（SC50约29.1-36.1 µg/mL），正己烷部约41.4-51.4 µg/mL，甲醇部SC50&gt;100 µg/mL几乎无活性；活性规律与同组板栗叶提取物研究一致，树皮与叶均可作为天然抗氧化原料来源。</t>
        </is>
      </c>
    </row>
    <row r="90">
      <c r="A90" s="2" t="n">
        <v>89</v>
      </c>
      <c r="B90" s="2" t="n">
        <v>19</v>
      </c>
      <c r="C90" s="2" t="inlineStr">
        <is>
          <t>019_2025_The in Vitro Anti-Inflammatory and Antioxidant Activitites of the Bark Extracts from Castanea Mo.md</t>
        </is>
      </c>
      <c r="D90" s="2" t="inlineStr">
        <is>
          <t>越南板栗树皮提取物体外抗炎与抗氧化活性研究</t>
        </is>
      </c>
      <c r="E90" s="2" t="inlineStr">
        <is>
          <t>生物活性与功效</t>
        </is>
      </c>
      <c r="F90" s="2" t="inlineStr">
        <is>
          <t>加工利用</t>
        </is>
      </c>
      <c r="G90" s="2" t="inlineStr">
        <is>
          <t>板栗树皮传统药用与资源化利用</t>
        </is>
      </c>
      <c r="H90" s="2" t="inlineStr">
        <is>
          <t>板栗茎叶在传统医学中用于治疗哮喘、骨折、化脓性疖肿、中耳炎等炎症性疾病；本研究首次实验证实板栗树皮提取物的抗炎抗氧化功效，提示板栗修剪和采伐产生的树皮副产物可用于提取天然活性成分，实现废弃生物质的资源化增值。</t>
        </is>
      </c>
    </row>
    <row r="91">
      <c r="A91" s="2" t="n">
        <v>90</v>
      </c>
      <c r="B91" s="2" t="n">
        <v>19</v>
      </c>
      <c r="C91" s="2" t="inlineStr">
        <is>
          <t>019_2025_The in Vitro Anti-Inflammatory and Antioxidant Activitites of the Bark Extracts from Castanea Mo.md</t>
        </is>
      </c>
      <c r="D91" s="2" t="inlineStr">
        <is>
          <t>越南板栗树皮提取物体外抗炎与抗氧化活性研究</t>
        </is>
      </c>
      <c r="E91" s="2" t="inlineStr">
        <is>
          <t>生物活性与功效</t>
        </is>
      </c>
      <c r="F91" s="2" t="inlineStr">
        <is>
          <t>产业市场</t>
        </is>
      </c>
      <c r="G91" s="2" t="inlineStr">
        <is>
          <t>越南栗属植物资源概况</t>
        </is>
      </c>
      <c r="H91" s="2" t="inlineStr">
        <is>
          <t>越南有2种栗属植物：老街省特有的Castanea phansipanensis（沙坝红瑶族用作洗浴叶）和广泛栽培的板栗（主要分布于高平省重庆县，以及山罗、莱州、谅山等地）；重庆板栗以香甜糯著称并获地理标志保护，当地板栗产业易种易管、经济价值高，但采后加工研究长期缺失。</t>
        </is>
      </c>
    </row>
    <row r="92">
      <c r="A92" s="2" t="n">
        <v>91</v>
      </c>
      <c r="B92" s="2" t="n">
        <v>20</v>
      </c>
      <c r="C92" s="2" t="inlineStr">
        <is>
          <t>020_2025_The MADS-box gene CmAP1 promotes flowering and petal development in Chinese chestnut (Castanea m.md</t>
        </is>
      </c>
      <c r="D92" s="2" t="inlineStr">
        <is>
          <t>板栗MADS-box基因CmAP1促进开花与花瓣发育</t>
        </is>
      </c>
      <c r="E92" s="2" t="inlineStr">
        <is>
          <t>生理与分子机制</t>
        </is>
      </c>
      <c r="F92" s="2" t="inlineStr">
        <is>
          <t>基础研究</t>
        </is>
      </c>
      <c r="G92" s="2" t="inlineStr">
        <is>
          <t>CmAP1基因结构与表达特征</t>
        </is>
      </c>
      <c r="H92" s="2" t="inlineStr">
        <is>
          <t>CmAP1是板栗基因组中唯一的AP1同源基因（板栗共53个MADS-box基因），基因全长11726 bp、含8个外显子7个内含子，CDS 741 bp编码246个氨基酸，蛋白定位于细胞核；RT-qPCR显示其主要在雄花和雌花中表达且雄花高于雌花，花芽、叶芽、茎尖、叶、根中表达显著较低，与麻疯树、栓皮栎、拟南芥中AP1表达模式相似。</t>
        </is>
      </c>
    </row>
    <row r="93">
      <c r="A93" s="2" t="n">
        <v>92</v>
      </c>
      <c r="B93" s="2" t="n">
        <v>20</v>
      </c>
      <c r="C93" s="2" t="inlineStr">
        <is>
          <t>020_2025_The MADS-box gene CmAP1 promotes flowering and petal development in Chinese chestnut (Castanea m.md</t>
        </is>
      </c>
      <c r="D93" s="2" t="inlineStr">
        <is>
          <t>板栗MADS-box基因CmAP1促进开花与花瓣发育</t>
        </is>
      </c>
      <c r="E93" s="2" t="inlineStr">
        <is>
          <t>生理与分子机制</t>
        </is>
      </c>
      <c r="F93" s="2" t="inlineStr">
        <is>
          <t>基础研究</t>
        </is>
      </c>
      <c r="G93" s="2" t="inlineStr">
        <is>
          <t>CmAP1在花发育中的时空表达</t>
        </is>
      </c>
      <c r="H93" s="2" t="inlineStr">
        <is>
          <t>RNA原位杂交显示CmAP1在花序分生组织、花原基及萼片、花瓣、雄蕊、心皮原基中均有表达；板栗花发育早期同一花中雄蕊和心皮原基并存，随后其中一方分化终止形成单性花，单性花阶段CmAP1表达集中于雄花的花瓣和花药；GUS染色显示启动子在拟南芥幼苗、叶缘、花序、花瓣和心皮中活跃。</t>
        </is>
      </c>
    </row>
    <row r="94">
      <c r="A94" s="2" t="n">
        <v>93</v>
      </c>
      <c r="B94" s="2" t="n">
        <v>20</v>
      </c>
      <c r="C94" s="2" t="inlineStr">
        <is>
          <t>020_2025_The MADS-box gene CmAP1 promotes flowering and petal development in Chinese chestnut (Castanea m.md</t>
        </is>
      </c>
      <c r="D94" s="2" t="inlineStr">
        <is>
          <t>板栗MADS-box基因CmAP1促进开花与花瓣发育</t>
        </is>
      </c>
      <c r="E94" s="2" t="inlineStr">
        <is>
          <t>生理与分子机制</t>
        </is>
      </c>
      <c r="F94" s="2" t="inlineStr">
        <is>
          <t>繁殖育种</t>
        </is>
      </c>
      <c r="G94" s="2" t="inlineStr">
        <is>
          <t>CmAP1促进开花并恢复花瓣发育</t>
        </is>
      </c>
      <c r="H94" s="2" t="inlineStr">
        <is>
          <t>在拟南芥中异源表达CmAP1使野生型和ap1-11突变体均提前开花（以抽薹2-5 cm时莲座叶数计花期），并将ap1-11突变体缺失的第二轮花瓣恢复正常发育；表达CmAP1后AtAP1与E类基因AtSEP1-4表达上调。CmAP1是具保守功能的A类成花基因，可作为板栗花期调控与早花育种的靶基因。</t>
        </is>
      </c>
    </row>
    <row r="95">
      <c r="A95" s="2" t="n">
        <v>94</v>
      </c>
      <c r="B95" s="2" t="n">
        <v>20</v>
      </c>
      <c r="C95" s="2" t="inlineStr">
        <is>
          <t>020_2025_The MADS-box gene CmAP1 promotes flowering and petal development in Chinese chestnut (Castanea m.md</t>
        </is>
      </c>
      <c r="D95" s="2" t="inlineStr">
        <is>
          <t>板栗MADS-box基因CmAP1促进开花与花瓣发育</t>
        </is>
      </c>
      <c r="E95" s="2" t="inlineStr">
        <is>
          <t>生理与分子机制</t>
        </is>
      </c>
      <c r="F95" s="2" t="inlineStr">
        <is>
          <t>栽培管理</t>
        </is>
      </c>
      <c r="G95" s="2" t="inlineStr">
        <is>
          <t>板栗开花特性与激素调控线索</t>
        </is>
      </c>
      <c r="H95" s="2" t="inlineStr">
        <is>
          <t>板栗雌雄同株、单性花、形成柔荑花序，成熟后每年开花一次，部分品种在适宜环境和营养条件下一年可开花两次；雌花花瓣大于雄花并发育成壳状结构。CmAP1启动子含生长素响应元件（TGA）、茉莉酸响应元件（TGACG）和WRKY结合位点（W-box），提示生长素、茉莉酸及WRKY转录因子参与调控板栗成花与果实发育。</t>
        </is>
      </c>
    </row>
    <row r="96">
      <c r="A96" s="2" t="n">
        <v>95</v>
      </c>
      <c r="B96" s="2" t="n">
        <v>21</v>
      </c>
      <c r="C96" s="2" t="inlineStr">
        <is>
          <t>021_2025_TỔNG HỢP NANO ZINC OXIDE BẰNG PHƯƠNG PHÁP THUỶ NHIỆT VÀ ẢNH HƯỞNG CỦA NÓ ĐẾN KHẢ NĂNG NẢY MẦM HẠ.md</t>
        </is>
      </c>
      <c r="D96" s="2" t="inlineStr">
        <is>
          <t>水热法合成纳米氧化锌及其对板栗种子萌发能力的影响</t>
        </is>
      </c>
      <c r="E96" s="2" t="inlineStr">
        <is>
          <t>栽培与土壤管理</t>
        </is>
      </c>
      <c r="F96" s="2" t="inlineStr">
        <is>
          <t>繁殖育种</t>
        </is>
      </c>
      <c r="G96" s="2" t="inlineStr">
        <is>
          <t>纳米ZnO浸种提高板栗种子发芽率</t>
        </is>
      </c>
      <c r="H96" s="2" t="inlineStr">
        <is>
          <t>板栗种子用1000 ppm纳米氧化锌悬浮液浸种24小时效果最佳：第18天发芽率达85.0%（清水对照65.0%），提高20个百分点；根长23.18±2.15 mm，显著长于对照的16.73±2.82 mm</t>
        </is>
      </c>
    </row>
    <row r="97">
      <c r="A97" s="2" t="n">
        <v>96</v>
      </c>
      <c r="B97" s="2" t="n">
        <v>21</v>
      </c>
      <c r="C97" s="2" t="inlineStr">
        <is>
          <t>021_2025_TỔNG HỢP NANO ZINC OXIDE BẰNG PHƯƠNG PHÁP THUỶ NHIỆT VÀ ẢNH HƯỞNG CỦA NÓ ĐẾN KHẢ NĂNG NẢY MẦM HẠ.md</t>
        </is>
      </c>
      <c r="D97" s="2" t="inlineStr">
        <is>
          <t>水热法合成纳米氧化锌及其对板栗种子萌发能力的影响</t>
        </is>
      </c>
      <c r="E97" s="2" t="inlineStr">
        <is>
          <t>栽培与土壤管理</t>
        </is>
      </c>
      <c r="F97" s="2" t="inlineStr">
        <is>
          <t>繁殖育种</t>
        </is>
      </c>
      <c r="G97" s="2" t="inlineStr">
        <is>
          <t>高浓度纳米ZnO的抑制作用</t>
        </is>
      </c>
      <c r="H97" s="2" t="inlineStr">
        <is>
          <t>浸种浓度达2000 ppm及以上时开始抑制板栗种子萌发和根伸长：第18天根长降至21.06±2.94 mm、发芽率降至80.0%，提示纳米锌肥浸种存在安全浓度上限，不可盲目提高浓度</t>
        </is>
      </c>
    </row>
    <row r="98">
      <c r="A98" s="2" t="n">
        <v>97</v>
      </c>
      <c r="B98" s="2" t="n">
        <v>21</v>
      </c>
      <c r="C98" s="2" t="inlineStr">
        <is>
          <t>021_2025_TỔNG HỢP NANO ZINC OXIDE BẰNG PHƯƠNG PHÁP THUỶ NHIỆT VÀ ẢNH HƯỞNG CỦA NÓ ĐẾN KHẢ NĂNG NẢY MẦM HẠ.md</t>
        </is>
      </c>
      <c r="D98" s="2" t="inlineStr">
        <is>
          <t>水热法合成纳米氧化锌及其对板栗种子萌发能力的影响</t>
        </is>
      </c>
      <c r="E98" s="2" t="inlineStr">
        <is>
          <t>栽培与土壤管理</t>
        </is>
      </c>
      <c r="F98" s="2" t="inlineStr">
        <is>
          <t>繁殖育种</t>
        </is>
      </c>
      <c r="G98" s="2" t="inlineStr">
        <is>
          <t>纳米ZnO促进萌发的机理</t>
        </is>
      </c>
      <c r="H98" s="2" t="inlineStr">
        <is>
          <t>纳米ZnO粒径小（平均约19.055 nm）比表面积大，便于种子吸收水分和养分，参与打破休眠、水解或转化抑制剂、酶活化和ROS产生等萌发相关生化过程；同时ZnO具有抗菌抗真菌特性，可保护种子免受环境中病原侵染，减少病害损失、提高成苗率</t>
        </is>
      </c>
    </row>
    <row r="99">
      <c r="A99" s="2" t="n">
        <v>98</v>
      </c>
      <c r="B99" s="2" t="n">
        <v>21</v>
      </c>
      <c r="C99" s="2" t="inlineStr">
        <is>
          <t>021_2025_TỔNG HỢP NANO ZINC OXIDE BẰNG PHƯƠNG PHÁP THUỶ NHIỆT VÀ ẢNH HƯỞNG CỦA NÓ ĐẾN KHẢ NĂNG NẢY MẦM HẠ.md</t>
        </is>
      </c>
      <c r="D99" s="2" t="inlineStr">
        <is>
          <t>水热法合成纳米氧化锌及其对板栗种子萌发能力的影响</t>
        </is>
      </c>
      <c r="E99" s="2" t="inlineStr">
        <is>
          <t>栽培与土壤管理</t>
        </is>
      </c>
      <c r="F99" s="2" t="inlineStr">
        <is>
          <t>基础研究</t>
        </is>
      </c>
      <c r="G99" s="2" t="inlineStr">
        <is>
          <t>水热法合成纳米ZnO的工艺与表征</t>
        </is>
      </c>
      <c r="H99" s="2" t="inlineStr">
        <is>
          <t>以11.12 g ZnSO4·7H2O溶于180 mL蒸馏水，滴加20 mL含3.20 g NaOH的溶液，180℃水热10 h，乙醇和蒸馏水洗至pH 7、70℃干燥12 h，可制得球形高纯六方纤锌矿纳米ZnO，平均晶粒19.055±1.285 nm，UV-vis最大吸收392 nm</t>
        </is>
      </c>
    </row>
    <row r="100">
      <c r="A100" s="2" t="n">
        <v>99</v>
      </c>
      <c r="B100" s="2" t="n">
        <v>22</v>
      </c>
      <c r="C100" s="2" t="inlineStr">
        <is>
          <t>022_2024__i_CmWOX2__i_ modulates somatic embryogenesis in Chinese chestnut (_i_Castanea mollissima__i_ Bl.md</t>
        </is>
      </c>
      <c r="D100" s="2" t="inlineStr">
        <is>
          <t>CmWOX2调控板栗体细胞胚胎发生</t>
        </is>
      </c>
      <c r="E100" s="2" t="inlineStr">
        <is>
          <t>育种与遗传资源</t>
        </is>
      </c>
      <c r="F100" s="2" t="inlineStr">
        <is>
          <t>繁殖育种</t>
        </is>
      </c>
      <c r="G100" s="2" t="inlineStr">
        <is>
          <t>不同板栗品种体胚发生能力差异</t>
        </is>
      </c>
      <c r="H100" s="2" t="inlineStr">
        <is>
          <t>'京暑红'和'怀黄'在E2液体悬浮培养2周后产生的体胚数显著多于'久夹种'和'山东红栗'（p&lt;0.05），且胚性愈伤期CmWOX2表达量高至少3倍；建立板栗体胚无性系或开展转基因育种宜优先选用'京暑红''怀黄'等品种作外植体来源</t>
        </is>
      </c>
    </row>
    <row r="101">
      <c r="A101" s="2" t="n">
        <v>100</v>
      </c>
      <c r="B101" s="2" t="n">
        <v>22</v>
      </c>
      <c r="C101" s="2" t="inlineStr">
        <is>
          <t>022_2024__i_CmWOX2__i_ modulates somatic embryogenesis in Chinese chestnut (_i_Castanea mollissima__i_ Bl.md</t>
        </is>
      </c>
      <c r="D101" s="2" t="inlineStr">
        <is>
          <t>CmWOX2调控板栗体细胞胚胎发生</t>
        </is>
      </c>
      <c r="E101" s="2" t="inlineStr">
        <is>
          <t>育种与遗传资源</t>
        </is>
      </c>
      <c r="F101" s="2" t="inlineStr">
        <is>
          <t>基础研究</t>
        </is>
      </c>
      <c r="G101" s="2" t="inlineStr">
        <is>
          <t>CmWOX2对体胚发生的调控功能</t>
        </is>
      </c>
      <c r="H101" s="2" t="inlineStr">
        <is>
          <t>过表达CmWOX2（35S::CmWOX2-eGFP，表达量提高17倍）使板栗体胚平均直径由0.812±0.072 mm显著增大到1.624±0.163 mm（p&lt;0.05），体胚数也有增加但不显著；RNAi使表达降低50%后0.1 g愈伤体胚数显著减少，表明该基因主要通过影响胚性愈伤发育与体胚大小来调控体胚发生</t>
        </is>
      </c>
    </row>
    <row r="102">
      <c r="A102" s="2" t="n">
        <v>101</v>
      </c>
      <c r="B102" s="2" t="n">
        <v>22</v>
      </c>
      <c r="C102" s="2" t="inlineStr">
        <is>
          <t>022_2024__i_CmWOX2__i_ modulates somatic embryogenesis in Chinese chestnut (_i_Castanea mollissima__i_ Bl.md</t>
        </is>
      </c>
      <c r="D102" s="2" t="inlineStr">
        <is>
          <t>CmWOX2调控板栗体细胞胚胎发生</t>
        </is>
      </c>
      <c r="E102" s="2" t="inlineStr">
        <is>
          <t>育种与遗传资源</t>
        </is>
      </c>
      <c r="F102" s="2" t="inlineStr">
        <is>
          <t>基础研究</t>
        </is>
      </c>
      <c r="G102" s="2" t="inlineStr">
        <is>
          <t>板栗WOX基因家族组成</t>
        </is>
      </c>
      <c r="H102" s="2" t="inlineStr">
        <is>
          <t>首次在板栗基因组（HBY-2版本）中鉴定出11个WOX基因，其中WUS进化枝7个（含CmWUSa、CmWUSb两个WUS同源基因，与玉米ZmWUS1/2扩增类似）、中间枝2个、古老枝2个；未检出AtWOX6和AtWOX7同源基因；CmWOX2（Cm07G01544）为AtWOX2最近同源基因，是体胚发生中唯一高表达的WUS枝成员</t>
        </is>
      </c>
    </row>
    <row r="103">
      <c r="A103" s="2" t="n">
        <v>102</v>
      </c>
      <c r="B103" s="2" t="n">
        <v>22</v>
      </c>
      <c r="C103" s="2" t="inlineStr">
        <is>
          <t>022_2024__i_CmWOX2__i_ modulates somatic embryogenesis in Chinese chestnut (_i_Castanea mollissima__i_ Bl.md</t>
        </is>
      </c>
      <c r="D103" s="2" t="inlineStr">
        <is>
          <t>CmWOX2调控板栗体细胞胚胎发生</t>
        </is>
      </c>
      <c r="E103" s="2" t="inlineStr">
        <is>
          <t>育种与遗传资源</t>
        </is>
      </c>
      <c r="F103" s="2" t="inlineStr">
        <is>
          <t>繁殖育种</t>
        </is>
      </c>
      <c r="G103" s="2" t="inlineStr">
        <is>
          <t>板栗体胚诱导培养基体系</t>
        </is>
      </c>
      <c r="H103" s="2" t="inlineStr">
        <is>
          <t>胚启动培养基E1配方：2.3 g/L WPM盐+109 mg/L Nitsch和Nitsch维生素+1 g/L酪蛋白+3%蔗糖+0.3% phytagel+1.8 µM 2,4-D+1.1 µM 6-BA，pH 5.5，胚性愈伤每3周继代一次；该体系为板栗体胚发生和遗传转化研究提供参考</t>
        </is>
      </c>
    </row>
    <row r="104">
      <c r="A104" s="2" t="n">
        <v>103</v>
      </c>
      <c r="B104" s="2" t="n">
        <v>23</v>
      </c>
      <c r="C104" s="2" t="inlineStr">
        <is>
          <t>023_2024_A _i_CsWRKY48__i_ Gene from Tea Plants Intercropped with Chinese Chestnut Plays an Important Rol.md</t>
        </is>
      </c>
      <c r="D104" s="2" t="inlineStr">
        <is>
          <t>板栗茶树间作系统中的茶树CsWRKY48基因在生物和非生物胁迫抗性中发挥重要作用</t>
        </is>
      </c>
      <c r="E104" s="2" t="inlineStr">
        <is>
          <t>生理与分子机制</t>
        </is>
      </c>
      <c r="F104" s="2" t="inlineStr">
        <is>
          <t>栽培管理</t>
        </is>
      </c>
      <c r="G104" s="2" t="inlineStr">
        <is>
          <t>板栗茶树间作的生态效益</t>
        </is>
      </c>
      <c r="H104" s="2" t="inlineStr">
        <is>
          <t>板栗树冠为茶树提供适度遮阴，使茶园温度维持在茶树适温20-30℃（茶树生长适温20-30℃，环境温度高于30℃生长显著减缓），缓解光合午休现象；春季树冠挡风减少热交换，夏季遮阴降低净辐射防高温危害，冬季板栗落叶覆盖地面减少土壤热量散失，利于茶园保温越冬</t>
        </is>
      </c>
    </row>
    <row r="105">
      <c r="A105" s="2" t="n">
        <v>104</v>
      </c>
      <c r="B105" s="2" t="n">
        <v>23</v>
      </c>
      <c r="C105" s="2" t="inlineStr">
        <is>
          <t>023_2024_A _i_CsWRKY48__i_ Gene from Tea Plants Intercropped with Chinese Chestnut Plays an Important Rol.md</t>
        </is>
      </c>
      <c r="D105" s="2" t="inlineStr">
        <is>
          <t>板栗茶树间作系统中的茶树CsWRKY48基因在生物和非生物胁迫抗性中发挥重要作用</t>
        </is>
      </c>
      <c r="E105" s="2" t="inlineStr">
        <is>
          <t>生理与分子机制</t>
        </is>
      </c>
      <c r="F105" s="2" t="inlineStr">
        <is>
          <t>病虫害防治</t>
        </is>
      </c>
      <c r="G105" s="2" t="inlineStr">
        <is>
          <t>间作提高茶树抗性的分子证据</t>
        </is>
      </c>
      <c r="H105" s="2" t="inlineStr">
        <is>
          <t>与纯茶园相比，板栗茶树间作茶园茶树中WRKY等抗性相关基因显著上调：CsERF109、CsChia1、CsDREB2A、CsbHLH147分别上调2.24、2.54、1.91、1.86倍，CsChia1/2/4/5和CsGSTU8/23/45等功能基因显著变化，表明间作通过光环境和化感作用激活茶树防御网络，茶树对低温和蚜虫的抗性更强</t>
        </is>
      </c>
    </row>
    <row r="106">
      <c r="A106" s="2" t="n">
        <v>105</v>
      </c>
      <c r="B106" s="2" t="n">
        <v>23</v>
      </c>
      <c r="C106" s="2" t="inlineStr">
        <is>
          <t>023_2024_A _i_CsWRKY48__i_ Gene from Tea Plants Intercropped with Chinese Chestnut Plays an Important Rol.md</t>
        </is>
      </c>
      <c r="D106" s="2" t="inlineStr">
        <is>
          <t>板栗茶树间作系统中的茶树CsWRKY48基因在生物和非生物胁迫抗性中发挥重要作用</t>
        </is>
      </c>
      <c r="E106" s="2" t="inlineStr">
        <is>
          <t>生理与分子机制</t>
        </is>
      </c>
      <c r="F106" s="2" t="inlineStr">
        <is>
          <t>基础研究</t>
        </is>
      </c>
      <c r="G106" s="2" t="inlineStr">
        <is>
          <t>CsWRKY48基因特性与表达模式</t>
        </is>
      </c>
      <c r="H106" s="2" t="inlineStr">
        <is>
          <t>CsWRKY48从间作茶树中克隆，ORF 960 bp编码317个氨基酸，含典型WRKYGQK结构域；4℃处理1 h表达达峰值（0 h的2.32倍），GA3、PEG、NaCl处理分别诱导表达5.74、5.68、6.13倍；启动子全长2037 bp，含GA（TAACAAAA-motif）、JA（AACGTG-motif）、ABA（VAACCA-motif）响应元件及低温响应元件CRTDREHVCBF2、干旱响应元件MYCTRD22</t>
        </is>
      </c>
    </row>
    <row r="107">
      <c r="A107" s="2" t="n">
        <v>106</v>
      </c>
      <c r="B107" s="2" t="n">
        <v>23</v>
      </c>
      <c r="C107" s="2" t="inlineStr">
        <is>
          <t>023_2024_A _i_CsWRKY48__i_ Gene from Tea Plants Intercropped with Chinese Chestnut Plays an Important Rol.md</t>
        </is>
      </c>
      <c r="D107" s="2" t="inlineStr">
        <is>
          <t>板栗茶树间作系统中的茶树CsWRKY48基因在生物和非生物胁迫抗性中发挥重要作用</t>
        </is>
      </c>
      <c r="E107" s="2" t="inlineStr">
        <is>
          <t>生理与分子机制</t>
        </is>
      </c>
      <c r="F107" s="2" t="inlineStr">
        <is>
          <t>基础研究</t>
        </is>
      </c>
      <c r="G107" s="2" t="inlineStr">
        <is>
          <t>过表达CsWRKY48增强烟草抗寒抗虫能力</t>
        </is>
      </c>
      <c r="H107" s="2" t="inlineStr">
        <is>
          <t>CsWRKY48过表达烟草毛状体密度和长度约为对照3倍（20-30个/视野、平均长2.72 mm，对照约10个/视野、0.79 mm），可溶性蛋白/糖/脯氨酸显著升高，POD、SOD、CAT活性增强，抗寒基因NtCBF1、NtDREB2B与抗虫基因NtChiA、NtTD显著上调；4℃处理12-24 h和蚜虫取食12 h后转基因株表型症状明显轻于对照</t>
        </is>
      </c>
    </row>
    <row r="108">
      <c r="A108" s="2" t="n">
        <v>107</v>
      </c>
      <c r="B108" s="2" t="n">
        <v>24</v>
      </c>
      <c r="C108" s="2" t="inlineStr">
        <is>
          <t>024_2024_Anatomical Changes during Chestnut (_i_Castanea mollissima__i_ BL.) Gall Development Stages Indu.md</t>
        </is>
      </c>
      <c r="D108" s="2" t="inlineStr">
        <is>
          <t>栗瘿蜂（膜翅目：瘿蜂科）诱导板栗虫瘿发育各阶段的解剖学变化</t>
        </is>
      </c>
      <c r="E108" s="2" t="inlineStr">
        <is>
          <t>病虫害防治</t>
        </is>
      </c>
      <c r="F108" s="2" t="inlineStr">
        <is>
          <t>病虫害防治</t>
        </is>
      </c>
      <c r="G108" s="2" t="inlineStr">
        <is>
          <t>栗瘿蜂发生规律与危害程度</t>
        </is>
      </c>
      <c r="H108" s="2" t="inlineStr">
        <is>
          <t>栗瘿蜂原产中国，年发生1代、营孤雌生殖；成虫6-7月将卵产于新梢芽内，初孵幼虫在芽内越冬，翌年春季取食刺激形成虫瘿；虫瘿干扰芽发育、降低叶片光合能力，造成树势衰退，减产可达75%，严重时枝叶畸形、生长停滞甚至整株死亡</t>
        </is>
      </c>
    </row>
    <row r="109">
      <c r="A109" s="2" t="n">
        <v>108</v>
      </c>
      <c r="B109" s="2" t="n">
        <v>24</v>
      </c>
      <c r="C109" s="2" t="inlineStr">
        <is>
          <t>024_2024_Anatomical Changes during Chestnut (_i_Castanea mollissima__i_ BL.) Gall Development Stages Indu.md</t>
        </is>
      </c>
      <c r="D109" s="2" t="inlineStr">
        <is>
          <t>栗瘿蜂（膜翅目：瘿蜂科）诱导板栗虫瘿发育各阶段的解剖学变化</t>
        </is>
      </c>
      <c r="E109" s="2" t="inlineStr">
        <is>
          <t>病虫害防治</t>
        </is>
      </c>
      <c r="F109" s="2" t="inlineStr">
        <is>
          <t>病虫害防治</t>
        </is>
      </c>
      <c r="G109" s="2" t="inlineStr">
        <is>
          <t>栗瘿蜂产卵部位偏好</t>
        </is>
      </c>
      <c r="H109" s="2" t="inlineStr">
        <is>
          <t>栗瘿蜂偏好在新梢、嫩叶、芽等未分化分生组织产卵，此类细胞幼嫩、分裂快、排列疏松、营养含量高，最利于虫瘿形成；虫瘿主要分布在枝条上部（便于瘿虫获取光合产物），防治上应在6-7月产卵期前后重点保护当年生新梢和芽，冬春修剪时剪除带瘿枝条</t>
        </is>
      </c>
    </row>
    <row r="110">
      <c r="A110" s="2" t="n">
        <v>109</v>
      </c>
      <c r="B110" s="2" t="n">
        <v>24</v>
      </c>
      <c r="C110" s="2" t="inlineStr">
        <is>
          <t>024_2024_Anatomical Changes during Chestnut (_i_Castanea mollissima__i_ BL.) Gall Development Stages Indu.md</t>
        </is>
      </c>
      <c r="D110" s="2" t="inlineStr">
        <is>
          <t>栗瘿蜂（膜翅目：瘿蜂科）诱导板栗虫瘿发育各阶段的解剖学变化</t>
        </is>
      </c>
      <c r="E110" s="2" t="inlineStr">
        <is>
          <t>病虫害防治</t>
        </is>
      </c>
      <c r="F110" s="2" t="inlineStr">
        <is>
          <t>病虫害防治</t>
        </is>
      </c>
      <c r="G110" s="2" t="inlineStr">
        <is>
          <t>虫瘿解剖结构与发育阶段</t>
        </is>
      </c>
      <c r="H110" s="2" t="inlineStr">
        <is>
          <t>虫瘿由外向内分为表皮层、保护层、薄壁组织层和瘿室四部分，瘿室长1.0-3.2 mm、宽1.0-2.0 mm；紧贴瘿室的营养层细胞淀粉酶、蛋白酶、氨基肽酶和磷脂酶活性高于正常细胞，是幼虫主要取食部位；成熟期(D)瘿木质化变红、幼虫停止取食，木质化期(E)维管束受损、瘿室萎缩，成虫羽化后瘿表留多数羽化孔，受害枝随后枯死</t>
        </is>
      </c>
    </row>
    <row r="111">
      <c r="A111" s="2" t="n">
        <v>110</v>
      </c>
      <c r="B111" s="2" t="n">
        <v>24</v>
      </c>
      <c r="C111" s="2" t="inlineStr">
        <is>
          <t>024_2024_Anatomical Changes during Chestnut (_i_Castanea mollissima__i_ BL.) Gall Development Stages Indu.md</t>
        </is>
      </c>
      <c r="D111" s="2" t="inlineStr">
        <is>
          <t>栗瘿蜂（膜翅目：瘿蜂科）诱导板栗虫瘿发育各阶段的解剖学变化</t>
        </is>
      </c>
      <c r="E111" s="2" t="inlineStr">
        <is>
          <t>病虫害防治</t>
        </is>
      </c>
      <c r="F111" s="2" t="inlineStr">
        <is>
          <t>基础研究</t>
        </is>
      </c>
      <c r="G111" s="2" t="inlineStr">
        <is>
          <t>ROS积累与瘿形成机制</t>
        </is>
      </c>
      <c r="H111" s="2" t="inlineStr">
        <is>
          <t>栗瘿蜂侵染削弱寄主ROS（超氧阴离子、过氧化氢、羟自由基）清除能力，ROS自分化期(C)起在细胞壁大量区域化积累，成熟期(D)爆发至峰值，诱导细胞壁过氧化和细胞核死亡，寄主抗性逐渐丧失，从而促进虫瘿发育；该氧化爆发机制与病原菌侵染引发的过敏性反应类似</t>
        </is>
      </c>
    </row>
    <row r="112">
      <c r="A112" s="2" t="n">
        <v>111</v>
      </c>
      <c r="B112" s="2" t="n">
        <v>24</v>
      </c>
      <c r="C112" s="2" t="inlineStr">
        <is>
          <t>024_2024_Anatomical Changes during Chestnut (_i_Castanea mollissima__i_ BL.) Gall Development Stages Indu.md</t>
        </is>
      </c>
      <c r="D112" s="2" t="inlineStr">
        <is>
          <t>栗瘿蜂（膜翅目：瘿蜂科）诱导板栗虫瘿发育各阶段的解剖学变化</t>
        </is>
      </c>
      <c r="E112" s="2" t="inlineStr">
        <is>
          <t>病虫害防治</t>
        </is>
      </c>
      <c r="F112" s="2" t="inlineStr">
        <is>
          <t>病虫害防治</t>
        </is>
      </c>
      <c r="G112" s="2" t="inlineStr">
        <is>
          <t>虫瘿结构与天敌寄生的关系</t>
        </is>
      </c>
      <c r="H112" s="2" t="inlineStr">
        <is>
          <t>虫瘿外层厚壁组织（石细胞保护层）数量与寄生性天敌成功寄生率呈负相关——保护层越薄，外源寄生蜂产卵攻击成功率越高；该特性可为栗瘿蜂寄生蜂（如生物防治）的释放利用提供参考</t>
        </is>
      </c>
    </row>
    <row r="113">
      <c r="A113" s="2" t="n">
        <v>112</v>
      </c>
      <c r="B113" s="2" t="n">
        <v>25</v>
      </c>
      <c r="C113" s="2" t="inlineStr">
        <is>
          <t>025_2024_Ceratocystis acaciivora = Ceratocystis manginecans and Chalaropsis sp. 1 on Chinese chestnut (Ca.md</t>
        </is>
      </c>
      <c r="D113" s="2" t="inlineStr">
        <is>
          <t>中国板栗上的刺球壳菌Ceratocystis acaciivora（=C. manginecans）与Chalaropsis sp. 1</t>
        </is>
      </c>
      <c r="E113" s="2" t="inlineStr">
        <is>
          <t>病虫害防治</t>
        </is>
      </c>
      <c r="F113" s="2" t="inlineStr">
        <is>
          <t>病虫害防治</t>
        </is>
      </c>
      <c r="G113" s="2" t="inlineStr">
        <is>
          <t>板栗采后黑腐病新病原首次报道</t>
        </is>
      </c>
      <c r="H113" s="2" t="inlineStr">
        <is>
          <t>2020年9月在中国昆明首次发现板栗采后黑腐病，病原经形态学与60S、LSU、MCM7多基因系统发育鉴定为Ceratocystis acaciivora（=C. manginecans，同物异名）和Chalaropsis sp. 1两种真菌，致病性经柯赫氏法则验证；这也是Ceratocystis属及其无性型首次与板栗建立关联</t>
        </is>
      </c>
    </row>
    <row r="114">
      <c r="A114" s="2" t="n">
        <v>113</v>
      </c>
      <c r="B114" s="2" t="n">
        <v>25</v>
      </c>
      <c r="C114" s="2" t="inlineStr">
        <is>
          <t>025_2024_Ceratocystis acaciivora = Ceratocystis manginecans and Chalaropsis sp. 1 on Chinese chestnut (Ca.md</t>
        </is>
      </c>
      <c r="D114" s="2" t="inlineStr">
        <is>
          <t>中国板栗上的刺球壳菌Ceratocystis acaciivora（=C. manginecans）与Chalaropsis sp. 1</t>
        </is>
      </c>
      <c r="E114" s="2" t="inlineStr">
        <is>
          <t>病虫害防治</t>
        </is>
      </c>
      <c r="F114" s="2" t="inlineStr">
        <is>
          <t>采收贮藏</t>
        </is>
      </c>
      <c r="G114" s="2" t="inlineStr">
        <is>
          <t>黑腐病症状识别</t>
        </is>
      </c>
      <c r="H114" s="2" t="inlineStr">
        <is>
          <t>病果初期出现坏死黑斑，逐渐扩大为黑色腐烂病斑，最终全果腐烂并覆盖灰白色霉层；人工接种5天内接种点周围病斑达0.6-0.9 cm；C. acaciivora接种孔产生大量黑色球形长颈子囊壳和黏性子囊孢子团，Chalaropsis sp. 1接种孔产生大量黑色霉层，可用于田间和贮藏期病害诊断</t>
        </is>
      </c>
    </row>
    <row r="115">
      <c r="A115" s="2" t="n">
        <v>114</v>
      </c>
      <c r="B115" s="2" t="n">
        <v>25</v>
      </c>
      <c r="C115" s="2" t="inlineStr">
        <is>
          <t>025_2024_Ceratocystis acaciivora = Ceratocystis manginecans and Chalaropsis sp. 1 on Chinese chestnut (Ca.md</t>
        </is>
      </c>
      <c r="D115" s="2" t="inlineStr">
        <is>
          <t>中国板栗上的刺球壳菌Ceratocystis acaciivora（=C. manginecans）与Chalaropsis sp. 1</t>
        </is>
      </c>
      <c r="E115" s="2" t="inlineStr">
        <is>
          <t>病虫害防治</t>
        </is>
      </c>
      <c r="F115" s="2" t="inlineStr">
        <is>
          <t>病虫害防治</t>
        </is>
      </c>
      <c r="G115" s="2" t="inlineStr">
        <is>
          <t>病原侵染途径与防控启示</t>
        </is>
      </c>
      <c r="H115" s="2" t="inlineStr">
        <is>
          <t>该类真菌主要通过甲虫携带从伤口（蛀孔）侵染板栗果实，伤口是重要侵入门户；防控上应结合田间防治蛀果甲虫，采收和贮运过程中避免机械损伤，贮前剔除带虫伤和病斑果实，以降低贮藏期黑腐病发生</t>
        </is>
      </c>
    </row>
    <row r="116">
      <c r="A116" s="2" t="n">
        <v>115</v>
      </c>
      <c r="B116" s="2" t="n">
        <v>25</v>
      </c>
      <c r="C116" s="2" t="inlineStr">
        <is>
          <t>025_2024_Ceratocystis acaciivora = Ceratocystis manginecans and Chalaropsis sp. 1 on Chinese chestnut (Ca.md</t>
        </is>
      </c>
      <c r="D116" s="2" t="inlineStr">
        <is>
          <t>中国板栗上的刺球壳菌Ceratocystis acaciivora（=C. manginecans）与Chalaropsis sp. 1</t>
        </is>
      </c>
      <c r="E116" s="2" t="inlineStr">
        <is>
          <t>病虫害防治</t>
        </is>
      </c>
      <c r="F116" s="2" t="inlineStr">
        <is>
          <t>基础研究</t>
        </is>
      </c>
      <c r="G116" s="2" t="inlineStr">
        <is>
          <t>病原形态学特征</t>
        </is>
      </c>
      <c r="H116" s="2" t="inlineStr">
        <is>
          <t>C. acaciivora在PDA上10天长满平板，菌丝初为白色后转黑褐色；子囊壳黑色球形（108.37-191.23×143.10-218.07 µm），颈长399.26-571.15 µm，子囊孢子帽形（4.35-6.87×3.52-4.66 µm），圆柱形分生孢子11.31-34.11×3.63-7.35 µm；Chalaropsis sp. 1菌落10天直径5.5-6.3 cm，内生分生孢子圆柱形单胞（10.22-19.24×4.81-6.99 µm），厚壁孢子深色厚壁（11.68-19.75×10.29-16.67 µm）</t>
        </is>
      </c>
    </row>
    <row r="117">
      <c r="A117" s="2" t="n">
        <v>116</v>
      </c>
      <c r="B117" s="2" t="n">
        <v>26</v>
      </c>
      <c r="C117" s="2" t="inlineStr">
        <is>
          <t>026_2024_Comprehensive evaluation of drought tolerance of six Chinese chestnut varieties (clones) based o.md</t>
        </is>
      </c>
      <c r="D117" s="2" t="inlineStr">
        <is>
          <t>基于黄酮及其他生理指标的六个板栗品种（优系）抗旱性综合评价</t>
        </is>
      </c>
      <c r="E117" s="2" t="inlineStr">
        <is>
          <t>生理与分子机制</t>
        </is>
      </c>
      <c r="F117" s="2" t="inlineStr">
        <is>
          <t>品种选择</t>
        </is>
      </c>
      <c r="G117" s="2" t="inlineStr">
        <is>
          <t>六个板栗品种（优系）抗旱性排序</t>
        </is>
      </c>
      <c r="H117" s="2" t="inlineStr">
        <is>
          <t>在土壤相对含水量约30%（重度干旱）的自然干旱下，6个板栗品种嫁接树抗旱性综合排序为青龙45(QL45)&gt;迁西42(QX42)&gt;燕秋(YQ)&gt;燕紫(YZ)&gt;燕山早丰(YSZF)&gt;燕龙(YL)；隶属函数抗旱度量值QL45最高（1.333）、燕龙最低（0.168），干旱山区建园可优先选用青龙45和迁西42。</t>
        </is>
      </c>
    </row>
    <row r="118">
      <c r="A118" s="2" t="n">
        <v>117</v>
      </c>
      <c r="B118" s="2" t="n">
        <v>26</v>
      </c>
      <c r="C118" s="2" t="inlineStr">
        <is>
          <t>026_2024_Comprehensive evaluation of drought tolerance of six Chinese chestnut varieties (clones) based o.md</t>
        </is>
      </c>
      <c r="D118" s="2" t="inlineStr">
        <is>
          <t>基于黄酮及其他生理指标的六个板栗品种（优系）抗旱性综合评价</t>
        </is>
      </c>
      <c r="E118" s="2" t="inlineStr">
        <is>
          <t>生理与分子机制</t>
        </is>
      </c>
      <c r="F118" s="2" t="inlineStr">
        <is>
          <t>基础研究</t>
        </is>
      </c>
      <c r="G118" s="2" t="inlineStr">
        <is>
          <t>黄酮类物质可作为板栗抗旱性评价指标</t>
        </is>
      </c>
      <c r="H118" s="2" t="inlineStr">
        <is>
          <t>黄酮和黄酮醇含量在15项指标权重排序中分别位列第3和第9，主成分分析证明可作为板栗抗旱性综合评价指标；青龙45叶片黄酮含量最高（337.70 mg/g，为燕龙的1.47倍），燕秋黄酮醇含量最高（23596.79 ng/g）；黄酮通过清除活性氧、稳定氧化稳态和螯合金属离子提高植物抗旱性。</t>
        </is>
      </c>
    </row>
    <row r="119">
      <c r="A119" s="2" t="n">
        <v>118</v>
      </c>
      <c r="B119" s="2" t="n">
        <v>26</v>
      </c>
      <c r="C119" s="2" t="inlineStr">
        <is>
          <t>026_2024_Comprehensive evaluation of drought tolerance of six Chinese chestnut varieties (clones) based o.md</t>
        </is>
      </c>
      <c r="D119" s="2" t="inlineStr">
        <is>
          <t>基于黄酮及其他生理指标的六个板栗品种（优系）抗旱性综合评价</t>
        </is>
      </c>
      <c r="E119" s="2" t="inlineStr">
        <is>
          <t>生理与分子机制</t>
        </is>
      </c>
      <c r="F119" s="2" t="inlineStr">
        <is>
          <t>基础研究</t>
        </is>
      </c>
      <c r="G119" s="2" t="inlineStr">
        <is>
          <t>板栗抗旱评价指标权重排序</t>
        </is>
      </c>
      <c r="H119" s="2" t="inlineStr">
        <is>
          <t>15项生理生化指标反映抗旱性的能力从高到低为：SOD活性、APX活性、黄酮含量、CAT活性、脯氨酸含量、可溶性糖含量、POD活性、甜菜碱含量、黄酮醇含量、H2O2含量、可溶性蛋白含量、超氧阴离子含量、OFR产生速率、MDA含量、叶绿素含量；采用主成分分析确定指标权重并结合隶属函数法计算抗旱度量值，前4个主成分累计贡献率91.24%。</t>
        </is>
      </c>
    </row>
    <row r="120">
      <c r="A120" s="2" t="n">
        <v>119</v>
      </c>
      <c r="B120" s="2" t="n">
        <v>26</v>
      </c>
      <c r="C120" s="2" t="inlineStr">
        <is>
          <t>026_2024_Comprehensive evaluation of drought tolerance of six Chinese chestnut varieties (clones) based o.md</t>
        </is>
      </c>
      <c r="D120" s="2" t="inlineStr">
        <is>
          <t>基于黄酮及其他生理指标的六个板栗品种（优系）抗旱性综合评价</t>
        </is>
      </c>
      <c r="E120" s="2" t="inlineStr">
        <is>
          <t>生理与分子机制</t>
        </is>
      </c>
      <c r="F120" s="2" t="inlineStr">
        <is>
          <t>栽培管理</t>
        </is>
      </c>
      <c r="G120" s="2" t="inlineStr">
        <is>
          <t>干旱胁迫下各品种生理响应差异</t>
        </is>
      </c>
      <c r="H120" s="2" t="inlineStr">
        <is>
          <t>干旱下青龙45和迁西42保护酶活性高（QL45的APX活性68.92 μmol/min/g FW，为燕龙的1.65倍；迁西42的SOD活性538.46 U/g FW最高）；燕秋可溶性糖含量最高（5.27%）；燕紫甜菜碱含量为燕龙的4.41倍；燕龙虽叶绿素含量最高（2.40 mg/g）但SOD、CAT、APX活性均最低，抗旱性最弱；MDA以燕山早丰最高（140.12 nmol/g）。</t>
        </is>
      </c>
    </row>
    <row r="121">
      <c r="A121" s="2" t="n">
        <v>120</v>
      </c>
      <c r="B121" s="2" t="n">
        <v>26</v>
      </c>
      <c r="C121" s="2" t="inlineStr">
        <is>
          <t>026_2024_Comprehensive evaluation of drought tolerance of six Chinese chestnut varieties (clones) based o.md</t>
        </is>
      </c>
      <c r="D121" s="2" t="inlineStr">
        <is>
          <t>基于黄酮及其他生理指标的六个板栗品种（优系）抗旱性综合评价</t>
        </is>
      </c>
      <c r="E121" s="2" t="inlineStr">
        <is>
          <t>生理与分子机制</t>
        </is>
      </c>
      <c r="F121" s="2" t="inlineStr">
        <is>
          <t>基础研究</t>
        </is>
      </c>
      <c r="G121" s="2" t="inlineStr">
        <is>
          <t>板栗抗旱性多指标综合评价方法</t>
        </is>
      </c>
      <c r="H121" s="2" t="inlineStr">
        <is>
          <t>单一指标无法有效评价板栗抗旱性，本试验采用自然干旱处理（停止浇水使土壤相对含水量降至约30%，相当于农业干旱等级GB/T 32136-2015的重度干旱），选取15项指标经相关性分析、主成分分析定权和隶属函数法计算抗旱度量值D，多指标统计方法能准确反映不同板栗品种（优系）的抗旱性差异。</t>
        </is>
      </c>
    </row>
    <row r="122">
      <c r="A122" s="2" t="n">
        <v>121</v>
      </c>
      <c r="B122" s="2" t="n">
        <v>27</v>
      </c>
      <c r="C122" s="2" t="inlineStr">
        <is>
          <t>027_2024_Cultivation of Chinese chestnut Castanea mollissima in natural forests in Shaqlawah-Erbil.md</t>
        </is>
      </c>
      <c r="D122" s="2" t="inlineStr">
        <is>
          <t>中国板栗在伊拉克埃尔比勒沙克拉瓦天然林中的栽培</t>
        </is>
      </c>
      <c r="E122" s="2" t="inlineStr">
        <is>
          <t>栽培与土壤管理</t>
        </is>
      </c>
      <c r="F122" s="2" t="inlineStr">
        <is>
          <t>土壤肥料</t>
        </is>
      </c>
      <c r="G122" s="2" t="inlineStr">
        <is>
          <t>泥炭藓基质最利于板栗育苗</t>
        </is>
      </c>
      <c r="H122" s="2" t="inlineStr">
        <is>
          <t>温室育苗6个月，泥炭藓处理苗高65 cm、地径2.8 mm、根长42.3 cm、地上/根生物量6.7/6.6 g，均显著优于壤土+NPK 500 ppm（54 cm、2.3 mm、25 cm、3.9/3.7 g）和沙土对照（26 cm、1.1 mm、10.7 cm、1.5/1.1 g）（p≤0.05）；泥炭藓含全氮0.75%、有机质40.32%，能持续供肥、保水并提高微生物活性，叶片氮磷钾含量也最高。</t>
        </is>
      </c>
    </row>
    <row r="123">
      <c r="A123" s="2" t="n">
        <v>122</v>
      </c>
      <c r="B123" s="2" t="n">
        <v>27</v>
      </c>
      <c r="C123" s="2" t="inlineStr">
        <is>
          <t>027_2024_Cultivation of Chinese chestnut Castanea mollissima in natural forests in Shaqlawah-Erbil.md</t>
        </is>
      </c>
      <c r="D123" s="2" t="inlineStr">
        <is>
          <t>中国板栗在伊拉克埃尔比勒沙克拉瓦天然林中的栽培</t>
        </is>
      </c>
      <c r="E123" s="2" t="inlineStr">
        <is>
          <t>栽培与土壤管理</t>
        </is>
      </c>
      <c r="F123" s="2" t="inlineStr">
        <is>
          <t>繁殖育种</t>
        </is>
      </c>
      <c r="G123" s="2" t="inlineStr">
        <is>
          <t>板栗种子低温处理打破休眠</t>
        </is>
      </c>
      <c r="H123" s="2" t="inlineStr">
        <is>
          <t>板栗种子播种前于5℃冰箱中冷藏2个月可有效打破胚的休眠，4月播于30×15 cm聚乙烯袋内，每周灌溉2 L即可正常成苗，为板栗播种育苗提供操作参数。</t>
        </is>
      </c>
    </row>
    <row r="124">
      <c r="A124" s="2" t="n">
        <v>123</v>
      </c>
      <c r="B124" s="2" t="n">
        <v>27</v>
      </c>
      <c r="C124" s="2" t="inlineStr">
        <is>
          <t>027_2024_Cultivation of Chinese chestnut Castanea mollissima in natural forests in Shaqlawah-Erbil.md</t>
        </is>
      </c>
      <c r="D124" s="2" t="inlineStr">
        <is>
          <t>中国板栗在伊拉克埃尔比勒沙克拉瓦天然林中的栽培</t>
        </is>
      </c>
      <c r="E124" s="2" t="inlineStr">
        <is>
          <t>栽培与土壤管理</t>
        </is>
      </c>
      <c r="F124" s="2" t="inlineStr">
        <is>
          <t>土壤肥料</t>
        </is>
      </c>
      <c r="G124" s="2" t="inlineStr">
        <is>
          <t>幼树定植初期NPK施肥与灌溉效果</t>
        </is>
      </c>
      <c r="H124" s="2" t="inlineStr">
        <is>
          <t>大田定植头12个月，每株施NPK 20 g并每周灌溉7 L，苗高69.7 cm显著高于不施肥不灌溉对照（62.3 cm），地径2.8 mm高于对照2.1 mm（p≤0.05）；年苗高增长8.9 cm、地径增长0.4 mm；叶片氮、磷、钾含量分别达524.25、56.49、116.86 ppm，显著高于对照（132.66、8.76、67.0 ppm）。</t>
        </is>
      </c>
    </row>
    <row r="125">
      <c r="A125" s="2" t="n">
        <v>124</v>
      </c>
      <c r="B125" s="2" t="n">
        <v>27</v>
      </c>
      <c r="C125" s="2" t="inlineStr">
        <is>
          <t>027_2024_Cultivation of Chinese chestnut Castanea mollissima in natural forests in Shaqlawah-Erbil.md</t>
        </is>
      </c>
      <c r="D125" s="2" t="inlineStr">
        <is>
          <t>中国板栗在伊拉克埃尔比勒沙克拉瓦天然林中的栽培</t>
        </is>
      </c>
      <c r="E125" s="2" t="inlineStr">
        <is>
          <t>栽培与土壤管理</t>
        </is>
      </c>
      <c r="F125" s="2" t="inlineStr">
        <is>
          <t>栽培管理</t>
        </is>
      </c>
      <c r="G125" s="2" t="inlineStr">
        <is>
          <t>板栗在干旱山区的引种适应性</t>
        </is>
      </c>
      <c r="H125" s="2" t="inlineStr">
        <is>
          <t>在伊拉克埃尔比勒沙克拉瓦Safeen山北坡（海拔900 m、年降水约900 mm、砂质黏壤土pH 7.85），中国板栗幼苗可正常生长，一年生苗高增长8.9 cm；该地7-9月降水稀少（仅5-15 mm），幼树建植初期必须补充灌溉，待根系深入土壤深层后方可利用深层水分养分。</t>
        </is>
      </c>
    </row>
    <row r="126">
      <c r="A126" s="2" t="n">
        <v>125</v>
      </c>
      <c r="B126" s="2" t="n">
        <v>27</v>
      </c>
      <c r="C126" s="2" t="inlineStr">
        <is>
          <t>027_2024_Cultivation of Chinese chestnut Castanea mollissima in natural forests in Shaqlawah-Erbil.md</t>
        </is>
      </c>
      <c r="D126" s="2" t="inlineStr">
        <is>
          <t>中国板栗在伊拉克埃尔比勒沙克拉瓦天然林中的栽培</t>
        </is>
      </c>
      <c r="E126" s="2" t="inlineStr">
        <is>
          <t>栽培与土壤管理</t>
        </is>
      </c>
      <c r="F126" s="2" t="inlineStr">
        <is>
          <t>栽培管理</t>
        </is>
      </c>
      <c r="G126" s="2" t="inlineStr">
        <is>
          <t>板栗与栎树混交造林建议</t>
        </is>
      </c>
      <c r="H126" s="2" t="inlineStr">
        <is>
          <t>推荐营造板栗与栎树（Quercus aegilops、Q. infectoria、Q. libani）混交林而非纯林：不同根系形态的树种间可实现土壤水分养分资源互补，栎树可对板栗幼树起遮护作用，减轻高温和强风伤害，形成种间促进，提高林分整体生产力。</t>
        </is>
      </c>
    </row>
    <row r="127">
      <c r="A127" s="2" t="n">
        <v>126</v>
      </c>
      <c r="B127" s="2" t="n">
        <v>28</v>
      </c>
      <c r="C127" s="2" t="inlineStr">
        <is>
          <t>028_2024_Genome-wide identification, evolution, and expression analysis of the NAC gene family in chestnu.md</t>
        </is>
      </c>
      <c r="D127" s="2" t="inlineStr">
        <is>
          <t>板栗NAC基因家族的全基因组鉴定、进化与表达分析</t>
        </is>
      </c>
      <c r="E127" s="2" t="inlineStr">
        <is>
          <t>基因组与基因家族</t>
        </is>
      </c>
      <c r="F127" s="2" t="inlineStr">
        <is>
          <t>基础研究</t>
        </is>
      </c>
      <c r="G127" s="2" t="inlineStr">
        <is>
          <t>板栗NAC基因家族规模与分类</t>
        </is>
      </c>
      <c r="H127" s="2" t="inlineStr">
        <is>
          <t>首次在板栗全基因组中鉴定出115个CmNAC基因，系统进化分为16个亚组（TIP组17个、NAP组15个最多，OsNAC8和AtNAC3组各仅1个，无ANAC063亚组成员）；基因不均匀分布于12条染色体，Chr1最多（20个）、Chr10次之（16个），Chr11和Chr12各仅3个，CmNAC114/115位于未挂载scaffold上。</t>
        </is>
      </c>
    </row>
    <row r="128">
      <c r="A128" s="2" t="n">
        <v>127</v>
      </c>
      <c r="B128" s="2" t="n">
        <v>28</v>
      </c>
      <c r="C128" s="2" t="inlineStr">
        <is>
          <t>028_2024_Genome-wide identification, evolution, and expression analysis of the NAC gene family in chestnu.md</t>
        </is>
      </c>
      <c r="D128" s="2" t="inlineStr">
        <is>
          <t>板栗NAC基因家族的全基因组鉴定、进化与表达分析</t>
        </is>
      </c>
      <c r="E128" s="2" t="inlineStr">
        <is>
          <t>基因组与基因家族</t>
        </is>
      </c>
      <c r="F128" s="2" t="inlineStr">
        <is>
          <t>基础研究</t>
        </is>
      </c>
      <c r="G128" s="2" t="inlineStr">
        <is>
          <t>CmNAC家族扩张的进化机制</t>
        </is>
      </c>
      <c r="H128" s="2" t="inlineStr">
        <is>
          <t>分散复制（53个基因）和全基因组复制（WGD，9对18个基因）是CmNAC家族扩张的主要驱动力，另有近端复制5个、串联复制4个；板栗与葡萄（二者在核心真双子叶六倍化事件后均无额外WGD）共线性最好，含65个共线性区块和71对直系同源基因（涉及50个CmNAC），与水稻共线性区块仅28个。</t>
        </is>
      </c>
    </row>
    <row r="129">
      <c r="A129" s="2" t="n">
        <v>128</v>
      </c>
      <c r="B129" s="2" t="n">
        <v>28</v>
      </c>
      <c r="C129" s="2" t="inlineStr">
        <is>
          <t>028_2024_Genome-wide identification, evolution, and expression analysis of the NAC gene family in chestnu.md</t>
        </is>
      </c>
      <c r="D129" s="2" t="inlineStr">
        <is>
          <t>板栗NAC基因家族的全基因组鉴定、进化与表达分析</t>
        </is>
      </c>
      <c r="E129" s="2" t="inlineStr">
        <is>
          <t>基因组与基因家族</t>
        </is>
      </c>
      <c r="F129" s="2" t="inlineStr">
        <is>
          <t>基础研究</t>
        </is>
      </c>
      <c r="G129" s="2" t="inlineStr">
        <is>
          <t>与板栗芽和坚果发育相关的候选CmNAC基因</t>
        </is>
      </c>
      <c r="H129" s="2" t="inlineStr">
        <is>
          <t>CmNAC14在芽发育中表达持续升高（花后20/25/30天TPM为66.12/126.49/148.57，启动子含赤霉素响应元件）；CmNAC38在芽中高表达（花后20天90.05 TPM）；CmNAC49在坚果发育全程保持高表达（花后70/82/94天TPM 122.94/166.93/123.73）；CmNAC54在坚果成熟期（花后94天）表达由近于0骤增至72.39 TPM，这些基因可能与板栗芽和坚果发育密切相关。</t>
        </is>
      </c>
    </row>
    <row r="130">
      <c r="A130" s="2" t="n">
        <v>129</v>
      </c>
      <c r="B130" s="2" t="n">
        <v>28</v>
      </c>
      <c r="C130" s="2" t="inlineStr">
        <is>
          <t>028_2024_Genome-wide identification, evolution, and expression analysis of the NAC gene family in chestnu.md</t>
        </is>
      </c>
      <c r="D130" s="2" t="inlineStr">
        <is>
          <t>板栗NAC基因家族的全基因组鉴定、进化与表达分析</t>
        </is>
      </c>
      <c r="E130" s="2" t="inlineStr">
        <is>
          <t>基因组与基因家族</t>
        </is>
      </c>
      <c r="F130" s="2" t="inlineStr">
        <is>
          <t>基础研究</t>
        </is>
      </c>
      <c r="G130" s="2" t="inlineStr">
        <is>
          <t>与胚珠育性相关的CmNAC基因</t>
        </is>
      </c>
      <c r="H130" s="2" t="inlineStr">
        <is>
          <t>CmNAC113在可育胚珠三个发育时期高表达（TPM 20.71/13.17/44.92），在败育胚珠中几乎不表达（5.82/1.70/2.15），CmNAC109则相反（可育1.149/0.67/0.19 vs 败育26.74/7.12/25.76）；CmNAC77和CmNAC86在可育与败育胚珠间表达差异显著，且20个CmNAC启动子含胚乳表达顺式元件，提示这些基因与板栗胚珠育性（与空籽形成相关）有重要潜在关联。</t>
        </is>
      </c>
    </row>
    <row r="131">
      <c r="A131" s="2" t="n">
        <v>130</v>
      </c>
      <c r="B131" s="2" t="n">
        <v>28</v>
      </c>
      <c r="C131" s="2" t="inlineStr">
        <is>
          <t>028_2024_Genome-wide identification, evolution, and expression analysis of the NAC gene family in chestnu.md</t>
        </is>
      </c>
      <c r="D131" s="2" t="inlineStr">
        <is>
          <t>板栗NAC基因家族的全基因组鉴定、进化与表达分析</t>
        </is>
      </c>
      <c r="E131" s="2" t="inlineStr">
        <is>
          <t>基因组与基因家族</t>
        </is>
      </c>
      <c r="F131" s="2" t="inlineStr">
        <is>
          <t>基础研究</t>
        </is>
      </c>
      <c r="G131" s="2" t="inlineStr">
        <is>
          <t>CmNAC蛋白理化特性与亚细胞定位</t>
        </is>
      </c>
      <c r="H131" s="2" t="inlineStr">
        <is>
          <t>CmNAC蛋白氨基酸数93-934 aa、分子量10992.77-106329.77 Da、pI 4.26-10.08（83个酸性、31个碱性、1个中性），多数为不稳定碱性亲水蛋白，69.57%预测定位于细胞核；GFP融合实验证实CmNAC49和CmNAC74定位于细胞核，CmNAC105定位于细胞核和过氧化物酶体；多数CmNAC含1-10个内含子且内含子多为0相位，同亚组成员基序组成一致。</t>
        </is>
      </c>
    </row>
    <row r="132">
      <c r="A132" s="2" t="n">
        <v>131</v>
      </c>
      <c r="B132" s="2" t="n">
        <v>29</v>
      </c>
      <c r="C132" s="2" t="inlineStr">
        <is>
          <t>029_2024_Identification and characterization of _i_CmPP2C31__i_ playing a positive role in the abiotic st.md</t>
        </is>
      </c>
      <c r="D132" s="2" t="inlineStr">
        <is>
          <t>整合策略鉴定与表征正调控中国板栗非生物胁迫抗性的CmPP2C31基因</t>
        </is>
      </c>
      <c r="E132" s="2" t="inlineStr">
        <is>
          <t>生理与分子机制</t>
        </is>
      </c>
      <c r="F132" s="2" t="inlineStr">
        <is>
          <t>基础研究</t>
        </is>
      </c>
      <c r="G132" s="2" t="inlineStr">
        <is>
          <t>板栗PP2C基因家族鉴定与扩张机制</t>
        </is>
      </c>
      <c r="H132" s="2" t="inlineStr">
        <is>
          <t>首次在板栗N11-1基因组中鉴定出68个CmPP2C基因，按拟南芥分类分为A-N共14个亚组（A亚组最多11个、N亚组仅CmPP2C36 1个）；蛋白长186-1079 aa、分子量20.31-119.40 kDa、pI 4.66-9.30；片段重复（14对）与串联重复（1对，CmPP2C64/65相距8039 bp）共同驱动家族扩张，分化时间跨新近纪与古近纪（6.18-67.86 MYa），自然胁迫压力促进了家族复制。</t>
        </is>
      </c>
    </row>
    <row r="133">
      <c r="A133" s="2" t="n">
        <v>132</v>
      </c>
      <c r="B133" s="2" t="n">
        <v>29</v>
      </c>
      <c r="C133" s="2" t="inlineStr">
        <is>
          <t>029_2024_Identification and characterization of _i_CmPP2C31__i_ playing a positive role in the abiotic st.md</t>
        </is>
      </c>
      <c r="D133" s="2" t="inlineStr">
        <is>
          <t>整合策略鉴定与表征正调控中国板栗非生物胁迫抗性的CmPP2C31基因</t>
        </is>
      </c>
      <c r="E133" s="2" t="inlineStr">
        <is>
          <t>生理与分子机制</t>
        </is>
      </c>
      <c r="F133" s="2" t="inlineStr">
        <is>
          <t>基础研究</t>
        </is>
      </c>
      <c r="G133" s="2" t="inlineStr">
        <is>
          <t>CmPP2C31的独特胁迫响应模式</t>
        </is>
      </c>
      <c r="H133" s="2" t="inlineStr">
        <is>
          <t>CmPP2C31是唯一在外源ABA（150 mg/L）处理下显著上调、又在低温（0℃ 1h）和干旱（39%土壤含水量22天）下显著下调的核心PP2C基因；A亚组启动子含46个胁迫相关顺式元件（12个ABRE、11个厌氧诱导ARE、5个干旱MBS、5个低温LTR等），表明其处于ABA信号与多种非生物胁迫响应的核心节点。</t>
        </is>
      </c>
    </row>
    <row r="134">
      <c r="A134" s="2" t="n">
        <v>133</v>
      </c>
      <c r="B134" s="2" t="n">
        <v>29</v>
      </c>
      <c r="C134" s="2" t="inlineStr">
        <is>
          <t>029_2024_Identification and characterization of _i_CmPP2C31__i_ playing a positive role in the abiotic st.md</t>
        </is>
      </c>
      <c r="D134" s="2" t="inlineStr">
        <is>
          <t>整合策略鉴定与表征正调控中国板栗非生物胁迫抗性的CmPP2C31基因</t>
        </is>
      </c>
      <c r="E134" s="2" t="inlineStr">
        <is>
          <t>生理与分子机制</t>
        </is>
      </c>
      <c r="F134" s="2" t="inlineStr">
        <is>
          <t>基础研究</t>
        </is>
      </c>
      <c r="G134" s="2" t="inlineStr">
        <is>
          <t>过表达CmPP2C31显著提高板栗抗旱性</t>
        </is>
      </c>
      <c r="H134" s="2" t="inlineStr">
        <is>
          <t>通过花粉磁转染将35S::CmPP2C31导入燕宝板栗获得过表达苗，15% PEG模拟干旱2周后，过表达株系相对表达量显著升高，干旱引起的H2O2和MDA积累被显著抑制（p&lt;0.05），并通过反馈调节提高内源ABA含量、减轻生长抑制，证明CmPP2C31正调控板栗抗旱性，作用途径为ABA依赖型信号转导。</t>
        </is>
      </c>
    </row>
    <row r="135">
      <c r="A135" s="2" t="n">
        <v>134</v>
      </c>
      <c r="B135" s="2" t="n">
        <v>29</v>
      </c>
      <c r="C135" s="2" t="inlineStr">
        <is>
          <t>029_2024_Identification and characterization of _i_CmPP2C31__i_ playing a positive role in the abiotic st.md</t>
        </is>
      </c>
      <c r="D135" s="2" t="inlineStr">
        <is>
          <t>整合策略鉴定与表征正调控中国板栗非生物胁迫抗性的CmPP2C31基因</t>
        </is>
      </c>
      <c r="E135" s="2" t="inlineStr">
        <is>
          <t>生理与分子机制</t>
        </is>
      </c>
      <c r="F135" s="2" t="inlineStr">
        <is>
          <t>基础研究</t>
        </is>
      </c>
      <c r="G135" s="2" t="inlineStr">
        <is>
          <t>CmPP2C31上游转录因子调控关系</t>
        </is>
      </c>
      <c r="H135" s="2" t="inlineStr">
        <is>
          <t>WGCNA显示转录因子EVM0007407（拟南芥NAC072同源基因）在MEyellow模块中表达最高并与CmPP2C31共表达；酵母单杂交证实EVM0007407可直接结合CmPP2C31启动子（400-500 ng/mL金担子素AbA筛选浓度下酵母正常生长），通过ABA依赖途径参与板栗干旱和低温抗性调控网络。</t>
        </is>
      </c>
    </row>
    <row r="136">
      <c r="A136" s="2" t="n">
        <v>135</v>
      </c>
      <c r="B136" s="2" t="n">
        <v>29</v>
      </c>
      <c r="C136" s="2" t="inlineStr">
        <is>
          <t>029_2024_Identification and characterization of _i_CmPP2C31__i_ playing a positive role in the abiotic st.md</t>
        </is>
      </c>
      <c r="D136" s="2" t="inlineStr">
        <is>
          <t>整合策略鉴定与表征正调控中国板栗非生物胁迫抗性的CmPP2C31基因</t>
        </is>
      </c>
      <c r="E136" s="2" t="inlineStr">
        <is>
          <t>生理与分子机制</t>
        </is>
      </c>
      <c r="F136" s="2" t="inlineStr">
        <is>
          <t>繁殖育种</t>
        </is>
      </c>
      <c r="G136" s="2" t="inlineStr">
        <is>
          <t>花粉磁转染技术用于板栗转基因</t>
        </is>
      </c>
      <c r="H136" s="2" t="inlineStr">
        <is>
          <t>磁性纳米颗粒与质粒DNA按1:1质量比混合形成MNP-DNA复合体，与板栗花粉混合后在磁场中孵育，再对燕宝雌花授粉获得转基因种子，经含玉米素1.0 mg/L+IAA 0.1 mg/L的WPM培养基成苗，RT-qPCR验证阳性株系，为木本果树的快速基因功能验证和种质创新提供了不依赖繁琐组织培养的技术途径。</t>
        </is>
      </c>
    </row>
    <row r="137">
      <c r="A137" s="2" t="n">
        <v>136</v>
      </c>
      <c r="B137" s="2" t="n">
        <v>30</v>
      </c>
      <c r="C137" s="2" t="inlineStr">
        <is>
          <t>030_2024_In vivo absorption, in vitro digestion, and fecal fermentation properties of non-starch polysacc.md</t>
        </is>
      </c>
      <c r="D137" s="2" t="inlineStr">
        <is>
          <t>板栗仁非淀粉多糖的体内吸收、体外消化与粪便发酵特性及其对人体肠道菌群的影响</t>
        </is>
      </c>
      <c r="E137" s="2" t="inlineStr">
        <is>
          <t>生物活性与功效</t>
        </is>
      </c>
      <c r="F137" s="2" t="inlineStr">
        <is>
          <t>营养功效</t>
        </is>
      </c>
      <c r="G137" s="2" t="inlineStr">
        <is>
          <t>板栗多糖耐消化、可达结肠的特性</t>
        </is>
      </c>
      <c r="H137" s="2" t="inlineStr">
        <is>
          <t>板栗仁非淀粉多糖NSPCK在模拟唾液和小肠液中几乎不被水解（水解度最大仅4.17%和4.99%），仅在胃液中被部分消化（水解度19.80%），全程消化率仅0.73%（唾液）、9.94%（胃）、11.27%（肠）；FT-IR显示糖苷键以β-构型为主且含α-1,4键极少，可抵抗上消化道降解到达结肠被肠道菌群发酵利用，具备益生元的物质基础。</t>
        </is>
      </c>
    </row>
    <row r="138">
      <c r="A138" s="2" t="n">
        <v>137</v>
      </c>
      <c r="B138" s="2" t="n">
        <v>30</v>
      </c>
      <c r="C138" s="2" t="inlineStr">
        <is>
          <t>030_2024_In vivo absorption, in vitro digestion, and fecal fermentation properties of non-starch polysacc.md</t>
        </is>
      </c>
      <c r="D138" s="2" t="inlineStr">
        <is>
          <t>板栗仁非淀粉多糖的体内吸收、体外消化与粪便发酵特性及其对人体肠道菌群的影响</t>
        </is>
      </c>
      <c r="E138" s="2" t="inlineStr">
        <is>
          <t>生物活性与功效</t>
        </is>
      </c>
      <c r="F138" s="2" t="inlineStr">
        <is>
          <t>营养功效</t>
        </is>
      </c>
      <c r="G138" s="2" t="inlineStr">
        <is>
          <t>板栗多糖促进短链脂肪酸生成</t>
        </is>
      </c>
      <c r="H138" s="2" t="inlineStr">
        <is>
          <t>人粪便体外厌氧发酵48 h，添加NSPCK组总短链脂肪酸达113.46 μg/mL，显著高于对照组80.05 μg/mL（p&lt;0.05）；主要成分为乙酸、丙酸和正丁酸（三种合计297.27 vs 对照275.61 μg/mL），戊酸和己酸也显著增加；发酵液pH由6.54降至4.03，丙酸可入血调节肝脏脂质合成并提高胰岛素敏感性，丁酸维护肠屏障完整性。</t>
        </is>
      </c>
    </row>
    <row r="139">
      <c r="A139" s="2" t="n">
        <v>138</v>
      </c>
      <c r="B139" s="2" t="n">
        <v>30</v>
      </c>
      <c r="C139" s="2" t="inlineStr">
        <is>
          <t>030_2024_In vivo absorption, in vitro digestion, and fecal fermentation properties of non-starch polysacc.md</t>
        </is>
      </c>
      <c r="D139" s="2" t="inlineStr">
        <is>
          <t>板栗仁非淀粉多糖的体内吸收、体外消化与粪便发酵特性及其对人体肠道菌群的影响</t>
        </is>
      </c>
      <c r="E139" s="2" t="inlineStr">
        <is>
          <t>生物活性与功效</t>
        </is>
      </c>
      <c r="F139" s="2" t="inlineStr">
        <is>
          <t>营养功效</t>
        </is>
      </c>
      <c r="G139" s="2" t="inlineStr">
        <is>
          <t>板栗多糖调节肠道菌群结构</t>
        </is>
      </c>
      <c r="H139" s="2" t="inlineStr">
        <is>
          <t>16S rRNA测序显示NSPCK显著提高双歧杆菌、乳杆菌、Ruminococcaceae_UCG-002等有益菌丰度，降低肠球菌、克雷伯菌、Parasutterella、Sutterella、Dialister等有害或条件致病菌丰度；LEfSe分析确定双歧杆菌科（属级）、Barnesiellaceae和Erysipelotrichaceae为NSPCK组特征菌群，表明板栗多糖具有益生元功效。</t>
        </is>
      </c>
    </row>
    <row r="140">
      <c r="A140" s="2" t="n">
        <v>139</v>
      </c>
      <c r="B140" s="2" t="n">
        <v>30</v>
      </c>
      <c r="C140" s="2" t="inlineStr">
        <is>
          <t>030_2024_In vivo absorption, in vitro digestion, and fecal fermentation properties of non-starch polysacc.md</t>
        </is>
      </c>
      <c r="D140" s="2" t="inlineStr">
        <is>
          <t>板栗仁非淀粉多糖的体内吸收、体外消化与粪便发酵特性及其对人体肠道菌群的影响</t>
        </is>
      </c>
      <c r="E140" s="2" t="inlineStr">
        <is>
          <t>生物活性与功效</t>
        </is>
      </c>
      <c r="F140" s="2" t="inlineStr">
        <is>
          <t>营养功效</t>
        </is>
      </c>
      <c r="G140" s="2" t="inlineStr">
        <is>
          <t>板栗多糖的降血脂与肠道保护作用</t>
        </is>
      </c>
      <c r="H140" s="2" t="inlineStr">
        <is>
          <t>C57BL/6小鼠灌胃NSPCK 100和200 mg/kg体重4周，血清甘油三酯（TG）和总胆固醇（TC）显著降低、高密度脂蛋白（HDL-C）显著升高（p&lt;0.05），LDL-C无显著变化；体重和空腹血糖无显著影响，结肠组织无病理改变且黏膜层与肌层增厚，提示每日摄入不超过200 mg/kg的NSPCK对血脂和肠道健康有益。</t>
        </is>
      </c>
    </row>
    <row r="141">
      <c r="A141" s="2" t="n">
        <v>140</v>
      </c>
      <c r="B141" s="2" t="n">
        <v>30</v>
      </c>
      <c r="C141" s="2" t="inlineStr">
        <is>
          <t>030_2024_In vivo absorption, in vitro digestion, and fecal fermentation properties of non-starch polysacc.md</t>
        </is>
      </c>
      <c r="D141" s="2" t="inlineStr">
        <is>
          <t>板栗仁非淀粉多糖的体内吸收、体外消化与粪便发酵特性及其对人体肠道菌群的影响</t>
        </is>
      </c>
      <c r="E141" s="2" t="inlineStr">
        <is>
          <t>生物活性与功效</t>
        </is>
      </c>
      <c r="F141" s="2" t="inlineStr">
        <is>
          <t>加工利用</t>
        </is>
      </c>
      <c r="G141" s="2" t="inlineStr">
        <is>
          <t>板栗多糖的组成与抗氧化降糖活性</t>
        </is>
      </c>
      <c r="H141" s="2" t="inlineStr">
        <is>
          <t>NSPCK总多糖含量92.08%、蛋白1.44%，分子量约8505 kDa，由鼠李糖、阿拉伯糖、半乳糖、葡萄糖（摩尔比0.6121）、木糖和半乳糖醛酸组成，含糖醛酸；对α-葡萄糖苷酶抑制率达63.79%（辅助控糖潜力），DPPH清除率75.49%（胃消化后因分子量和粒径减小升至96.59%），ABTS和总抗氧化能力消化后有所下降（64.55%→58.48%、20.12%→12.45%）但保留较强活性。</t>
        </is>
      </c>
    </row>
    <row r="142">
      <c r="A142" s="2" t="n">
        <v>141</v>
      </c>
      <c r="B142" s="2" t="n">
        <v>30</v>
      </c>
      <c r="C142" s="2" t="inlineStr">
        <is>
          <t>030_2024_In vivo absorption, in vitro digestion, and fecal fermentation properties of non-starch polysacc.md</t>
        </is>
      </c>
      <c r="D142" s="2" t="inlineStr">
        <is>
          <t>板栗仁非淀粉多糖的体内吸收、体外消化与粪便发酵特性及其对人体肠道菌群的影响</t>
        </is>
      </c>
      <c r="E142" s="2" t="inlineStr">
        <is>
          <t>生物活性与功效</t>
        </is>
      </c>
      <c r="F142" s="2" t="inlineStr">
        <is>
          <t>加工利用</t>
        </is>
      </c>
      <c r="G142" s="2" t="inlineStr">
        <is>
          <t>板栗多糖酶-碱复合提取工艺</t>
        </is>
      </c>
      <c r="H142" s="2" t="inlineStr">
        <is>
          <t>NSPCK采用酶-碱法制备：先加11%混合酶（α-淀粉酶:糖化酶=4:1）于60℃、pH 6.3提取60 min，再加4%中性蛋白酶60℃提取75 min，最后50℃、pH 9碱提60 min；Sevage法脱蛋白、3500 Da超纯水透析、乙醇沉淀后冷冻干燥，为板栗深加工功能性多糖产品的工业化提取提供工艺参考。</t>
        </is>
      </c>
    </row>
    <row r="143">
      <c r="A143" s="2" t="n">
        <v>142</v>
      </c>
      <c r="B143" s="2" t="n">
        <v>31</v>
      </c>
      <c r="C143" s="2" t="inlineStr">
        <is>
          <t>031_2024_Metabolome and Transcriptome Combined Reveal the Main Floral Volatile Compounds and Key Regulato.md</t>
        </is>
      </c>
      <c r="D143" s="2" t="inlineStr">
        <is>
          <t>代谢组与转录组联合解析板栗花主要挥发性化合物及关键调控基因</t>
        </is>
      </c>
      <c r="E143" s="2" t="inlineStr">
        <is>
          <t>生理与分子机制</t>
        </is>
      </c>
      <c r="F143" s="2" t="inlineStr">
        <is>
          <t>加工利用</t>
        </is>
      </c>
      <c r="G143" s="2" t="inlineStr">
        <is>
          <t>板栗花主要香气成分</t>
        </is>
      </c>
      <c r="H143" s="2" t="inlineStr">
        <is>
          <t>板栗盛花期花中苯乙酮含量130.31 μg/g（占总挥发物10.25%）、苯乙烯67.06 μg/g（占5.14%），β-蒎烯含量也超过5%，三者是板栗花香气的主要特征成分；初花期几乎不含苯乙酮和苯乙烯，随开花进程含量急剧上升。</t>
        </is>
      </c>
    </row>
    <row r="144">
      <c r="A144" s="2" t="n">
        <v>143</v>
      </c>
      <c r="B144" s="2" t="n">
        <v>31</v>
      </c>
      <c r="C144" s="2" t="inlineStr">
        <is>
          <t>031_2024_Metabolome and Transcriptome Combined Reveal the Main Floral Volatile Compounds and Key Regulato.md</t>
        </is>
      </c>
      <c r="D144" s="2" t="inlineStr">
        <is>
          <t>代谢组与转录组联合解析板栗花主要挥发性化合物及关键调控基因</t>
        </is>
      </c>
      <c r="E144" s="2" t="inlineStr">
        <is>
          <t>生理与分子机制</t>
        </is>
      </c>
      <c r="F144" s="2" t="inlineStr">
        <is>
          <t>基础研究</t>
        </is>
      </c>
      <c r="G144" s="2" t="inlineStr">
        <is>
          <t>板栗花挥发性成分组成</t>
        </is>
      </c>
      <c r="H144" s="2" t="inlineStr">
        <is>
          <t>HS-SPME-GC-MS共检测到926种挥发性化合物、分16类，主要为萜类（180种）、杂环化合物（154种）、酯类（146种），三类合计占51.7%；远多于月季、百合（约47种）等花卉，与液氮研磨+饱和NaCl+60℃顶空萃取的检测方法有关。</t>
        </is>
      </c>
    </row>
    <row r="145">
      <c r="A145" s="2" t="n">
        <v>144</v>
      </c>
      <c r="B145" s="2" t="n">
        <v>31</v>
      </c>
      <c r="C145" s="2" t="inlineStr">
        <is>
          <t>031_2024_Metabolome and Transcriptome Combined Reveal the Main Floral Volatile Compounds and Key Regulato.md</t>
        </is>
      </c>
      <c r="D145" s="2" t="inlineStr">
        <is>
          <t>代谢组与转录组联合解析板栗花主要挥发性化合物及关键调控基因</t>
        </is>
      </c>
      <c r="E145" s="2" t="inlineStr">
        <is>
          <t>生理与分子机制</t>
        </is>
      </c>
      <c r="F145" s="2" t="inlineStr">
        <is>
          <t>营养功效</t>
        </is>
      </c>
      <c r="G145" s="2" t="inlineStr">
        <is>
          <t>板栗花的抑菌驱虫功能基础</t>
        </is>
      </c>
      <c r="H145" s="2" t="inlineStr">
        <is>
          <t>主要挥发成分中，β-蒎烯具有驱蚊、祛痰、止咳作用；苯乙酮可合成镇痛、抗病毒、抗癌、抗抑郁药物，且100 μL/L苯乙酮熏蒸12小时对采后辣椒炭疽病菌有良好抑菌活性，提示二者是板栗花驱虫、抑菌和药用功能的主要活性成分。</t>
        </is>
      </c>
    </row>
    <row r="146">
      <c r="A146" s="2" t="n">
        <v>145</v>
      </c>
      <c r="B146" s="2" t="n">
        <v>31</v>
      </c>
      <c r="C146" s="2" t="inlineStr">
        <is>
          <t>031_2024_Metabolome and Transcriptome Combined Reveal the Main Floral Volatile Compounds and Key Regulato.md</t>
        </is>
      </c>
      <c r="D146" s="2" t="inlineStr">
        <is>
          <t>代谢组与转录组联合解析板栗花主要挥发性化合物及关键调控基因</t>
        </is>
      </c>
      <c r="E146" s="2" t="inlineStr">
        <is>
          <t>生理与分子机制</t>
        </is>
      </c>
      <c r="F146" s="2" t="inlineStr">
        <is>
          <t>采收贮藏</t>
        </is>
      </c>
      <c r="G146" s="2" t="inlineStr">
        <is>
          <t>开花期挥发物变化规律</t>
        </is>
      </c>
      <c r="H146" s="2" t="inlineStr">
        <is>
          <t>初花期到盛花期芳香类物质总量从60.53 μg/g显著升至117.92 μg/g，325个差异挥发物中248个上调（主要为萜类），差异物显著富集于倍半萜/三萜生物合成与乙苯降解途径，说明盛花期是花香气和功能成分积累的高峰期。</t>
        </is>
      </c>
    </row>
    <row r="147">
      <c r="A147" s="2" t="n">
        <v>146</v>
      </c>
      <c r="B147" s="2" t="n">
        <v>31</v>
      </c>
      <c r="C147" s="2" t="inlineStr">
        <is>
          <t>031_2024_Metabolome and Transcriptome Combined Reveal the Main Floral Volatile Compounds and Key Regulato.md</t>
        </is>
      </c>
      <c r="D147" s="2" t="inlineStr">
        <is>
          <t>代谢组与转录组联合解析板栗花主要挥发性化合物及关键调控基因</t>
        </is>
      </c>
      <c r="E147" s="2" t="inlineStr">
        <is>
          <t>生理与分子机制</t>
        </is>
      </c>
      <c r="F147" s="2" t="inlineStr">
        <is>
          <t>栽培管理</t>
        </is>
      </c>
      <c r="G147" s="2" t="inlineStr">
        <is>
          <t>板栗雌雄花比例与雄花利用</t>
        </is>
      </c>
      <c r="H147" s="2" t="inlineStr">
        <is>
          <t>板栗雌雄花比例约1:2900-3400，大量雄花过度消耗树体营养、限制坚果产量提高；雄花具有抗菌、解毒、祛湿、润肺等药用价值，其功能多由挥发性成分决定，疏除多余雄花并加以利用可兼顾产量与增值。</t>
        </is>
      </c>
    </row>
    <row r="148">
      <c r="A148" s="2" t="n">
        <v>147</v>
      </c>
      <c r="B148" s="2" t="n">
        <v>32</v>
      </c>
      <c r="C148" s="2" t="inlineStr">
        <is>
          <t>032_2024_Physiological response of chestnuts (Castanea mollissima Blume) infected by pathogenic fungi and.md</t>
        </is>
      </c>
      <c r="D148" s="2" t="inlineStr">
        <is>
          <t>病原真菌侵染板栗的生理响应及其与果实腐烂的相关性</t>
        </is>
      </c>
      <c r="E148" s="2" t="inlineStr">
        <is>
          <t>病虫害防治</t>
        </is>
      </c>
      <c r="F148" s="2" t="inlineStr">
        <is>
          <t>病虫害防治</t>
        </is>
      </c>
      <c r="G148" s="2" t="inlineStr">
        <is>
          <t>板栗采后主要致腐真菌</t>
        </is>
      </c>
      <c r="H148" s="2" t="inlineStr">
        <is>
          <t>贵州望谟板栗（国家地理标志产品）采后主要致腐真菌为层出镰刀菌（Fusarium proliferatum）、皮落青霉（Penicillium crustosum）和链格孢（Alternaria alternata）；欧洲及美洲板栗中最常见为青霉属，亚洲常见链格孢、镰刀菌、曲霉等；贮运腐烂造成的板栗产量损失超过50%。</t>
        </is>
      </c>
    </row>
    <row r="149">
      <c r="A149" s="2" t="n">
        <v>148</v>
      </c>
      <c r="B149" s="2" t="n">
        <v>32</v>
      </c>
      <c r="C149" s="2" t="inlineStr">
        <is>
          <t>032_2024_Physiological response of chestnuts (Castanea mollissima Blume) infected by pathogenic fungi and.md</t>
        </is>
      </c>
      <c r="D149" s="2" t="inlineStr">
        <is>
          <t>病原真菌侵染板栗的生理响应及其与果实腐烂的相关性</t>
        </is>
      </c>
      <c r="E149" s="2" t="inlineStr">
        <is>
          <t>病虫害防治</t>
        </is>
      </c>
      <c r="F149" s="2" t="inlineStr">
        <is>
          <t>采收贮藏</t>
        </is>
      </c>
      <c r="G149" s="2" t="inlineStr">
        <is>
          <t>真菌侵染对板栗营养品质的影响</t>
        </is>
      </c>
      <c r="H149" s="2" t="inlineStr">
        <is>
          <t>25℃贮藏10天，感染真菌的板栗水分从约63%降至42%-53%，蛋白从4.45%-4.54%（DW）降至2.82%-2.89%，淀粉由约46%（DW）最低降至27.62%（三菌混合接种），青霉及三菌混合处理脂肪降幅约39%（DW），还原糖升高（最高2.25% DW）反而利于病菌生长繁殖。</t>
        </is>
      </c>
    </row>
    <row r="150">
      <c r="A150" s="2" t="n">
        <v>149</v>
      </c>
      <c r="B150" s="2" t="n">
        <v>32</v>
      </c>
      <c r="C150" s="2" t="inlineStr">
        <is>
          <t>032_2024_Physiological response of chestnuts (Castanea mollissima Blume) infected by pathogenic fungi and.md</t>
        </is>
      </c>
      <c r="D150" s="2" t="inlineStr">
        <is>
          <t>病原真菌侵染板栗的生理响应及其与果实腐烂的相关性</t>
        </is>
      </c>
      <c r="E150" s="2" t="inlineStr">
        <is>
          <t>病虫害防治</t>
        </is>
      </c>
      <c r="F150" s="2" t="inlineStr">
        <is>
          <t>病虫害防治</t>
        </is>
      </c>
      <c r="G150" s="2" t="inlineStr">
        <is>
          <t>病原真菌侵染致病机理</t>
        </is>
      </c>
      <c r="H150" s="2" t="inlineStr">
        <is>
          <t>病原真菌分泌羧甲基纤维素酶、β-葡萄糖苷酶、β-半乳糖苷酶、木聚糖酶、果胶裂解酶、多聚半乳糖醛酸酶6种细胞壁降解酶降解板栗细胞壁，活性顺序为β-Glu&gt;β-Gal&gt;PG&gt;PL&gt;Cx&gt;木聚糖酶，β-葡萄糖苷酶起关键作用；菌丝先在细胞间隙定殖，再覆盖整个组织表面，最终细胞壁解体、细胞结构消失导致腐烂。</t>
        </is>
      </c>
    </row>
    <row r="151">
      <c r="A151" s="2" t="n">
        <v>150</v>
      </c>
      <c r="B151" s="2" t="n">
        <v>32</v>
      </c>
      <c r="C151" s="2" t="inlineStr">
        <is>
          <t>032_2024_Physiological response of chestnuts (Castanea mollissima Blume) infected by pathogenic fungi and.md</t>
        </is>
      </c>
      <c r="D151" s="2" t="inlineStr">
        <is>
          <t>病原真菌侵染板栗的生理响应及其与果实腐烂的相关性</t>
        </is>
      </c>
      <c r="E151" s="2" t="inlineStr">
        <is>
          <t>病虫害防治</t>
        </is>
      </c>
      <c r="F151" s="2" t="inlineStr">
        <is>
          <t>采收贮藏</t>
        </is>
      </c>
      <c r="G151" s="2" t="inlineStr">
        <is>
          <t>多种真菌混合侵染加重腐烂</t>
        </is>
      </c>
      <c r="H151" s="2" t="inlineStr">
        <is>
          <t>两菌、三菌混合接种的细胞壁降解酶活性和病斑直径均高于单一接种，三菌混合（FPAC）处理CAT活性最高（2718.78 U/g）、病斑最大，接种10天整果完全腐烂，表明多种致腐真菌可协同诱导酶分泌、加剧板栗采后腐烂。</t>
        </is>
      </c>
    </row>
    <row r="152">
      <c r="A152" s="2" t="n">
        <v>151</v>
      </c>
      <c r="B152" s="2" t="n">
        <v>32</v>
      </c>
      <c r="C152" s="2" t="inlineStr">
        <is>
          <t>032_2024_Physiological response of chestnuts (Castanea mollissima Blume) infected by pathogenic fungi and.md</t>
        </is>
      </c>
      <c r="D152" s="2" t="inlineStr">
        <is>
          <t>病原真菌侵染板栗的生理响应及其与果实腐烂的相关性</t>
        </is>
      </c>
      <c r="E152" s="2" t="inlineStr">
        <is>
          <t>病虫害防治</t>
        </is>
      </c>
      <c r="F152" s="2" t="inlineStr">
        <is>
          <t>采收贮藏</t>
        </is>
      </c>
      <c r="G152" s="2" t="inlineStr">
        <is>
          <t>腐烂程度的生理指标标志</t>
        </is>
      </c>
      <c r="H152" s="2" t="inlineStr">
        <is>
          <t>病斑直径与Cx、β-Glu、β-Gal、木聚糖酶、PL、PG、CAT、SOD、α-淀粉酶、MDA和相对电导率呈显著正相关（P&lt;0.01，r&gt;0.80），与水分、蛋白、脂肪、淀粉负相关，与呼吸强度无关；MDA和相对电导率升高反映膜脂过氧化和细胞膜损伤加重，可作为板栗腐烂进程的监测指标。</t>
        </is>
      </c>
    </row>
    <row r="153">
      <c r="A153" s="2" t="n">
        <v>152</v>
      </c>
      <c r="B153" s="2" t="n">
        <v>32</v>
      </c>
      <c r="C153" s="2" t="inlineStr">
        <is>
          <t>032_2024_Physiological response of chestnuts (Castanea mollissima Blume) infected by pathogenic fungi and.md</t>
        </is>
      </c>
      <c r="D153" s="2" t="inlineStr">
        <is>
          <t>病原真菌侵染板栗的生理响应及其与果实腐烂的相关性</t>
        </is>
      </c>
      <c r="E153" s="2" t="inlineStr">
        <is>
          <t>病虫害防治</t>
        </is>
      </c>
      <c r="F153" s="2" t="inlineStr">
        <is>
          <t>采收贮藏</t>
        </is>
      </c>
      <c r="G153" s="2" t="inlineStr">
        <is>
          <t>采后腐烂防控技术要点</t>
        </is>
      </c>
      <c r="H153" s="2" t="inlineStr">
        <is>
          <t>防控板栗采后腐烂应首先减少采摘和采后流通中的机械损伤以降低病菌从伤口侵染的机会；贮藏运输中可采用低温、气调、可食性涂膜等物理方法，ClO2和O3等化学方法，以及天然提取物、拮抗细菌和微生物代谢物等生物方法。</t>
        </is>
      </c>
    </row>
    <row r="154">
      <c r="A154" s="2" t="n">
        <v>153</v>
      </c>
      <c r="B154" s="2" t="n">
        <v>33</v>
      </c>
      <c r="C154" s="2" t="inlineStr">
        <is>
          <t>033_2024_The MADS-box gene CmAP1 promotes flowering and petal development in Chinese chestnut (Castanea m.md</t>
        </is>
      </c>
      <c r="D154" s="2" t="inlineStr">
        <is>
          <t>MADS-box基因CmAP1促进板栗开花和花瓣发育</t>
        </is>
      </c>
      <c r="E154" s="2" t="inlineStr">
        <is>
          <t>基因组与基因家族</t>
        </is>
      </c>
      <c r="F154" s="2" t="inlineStr">
        <is>
          <t>基础研究</t>
        </is>
      </c>
      <c r="G154" s="2" t="inlineStr">
        <is>
          <t>CmAP1基因结构与功能</t>
        </is>
      </c>
      <c r="H154" s="2" t="inlineStr">
        <is>
          <t>CmAP1是拟南芥APETALA1（A类花发育基因）的板栗同源基因，基因组序列长11726 bp（8外显子/7内含子），CDS 741 bp编码346个氨基酸，含MADS-MEF2-like和K-box保守结构域并定位于细胞核；在拟南芥中过表达可促进提前开花并恢复ap1-11突变体的花瓣缺陷。</t>
        </is>
      </c>
    </row>
    <row r="155">
      <c r="A155" s="2" t="n">
        <v>154</v>
      </c>
      <c r="B155" s="2" t="n">
        <v>33</v>
      </c>
      <c r="C155" s="2" t="inlineStr">
        <is>
          <t>033_2024_The MADS-box gene CmAP1 promotes flowering and petal development in Chinese chestnut (Castanea m.md</t>
        </is>
      </c>
      <c r="D155" s="2" t="inlineStr">
        <is>
          <t>MADS-box基因CmAP1促进板栗开花和花瓣发育</t>
        </is>
      </c>
      <c r="E155" s="2" t="inlineStr">
        <is>
          <t>基因组与基因家族</t>
        </is>
      </c>
      <c r="F155" s="2" t="inlineStr">
        <is>
          <t>基础研究</t>
        </is>
      </c>
      <c r="G155" s="2" t="inlineStr">
        <is>
          <t>CmAP1时空表达模式</t>
        </is>
      </c>
      <c r="H155" s="2" t="inlineStr">
        <is>
          <t>CmAP1主要在花中表达且雄花表达量高于雌花；RNA原位杂交显示其在花序分生组织、花分生组织、萼片、花瓣及雄蕊、心皮原基中均有表达，成熟雌花仅在萼片和花瓣表达，成熟雄花还包括雄蕊，表明CmAP1参与雄蕊发育。</t>
        </is>
      </c>
    </row>
    <row r="156">
      <c r="A156" s="2" t="n">
        <v>155</v>
      </c>
      <c r="B156" s="2" t="n">
        <v>33</v>
      </c>
      <c r="C156" s="2" t="inlineStr">
        <is>
          <t>033_2024_The MADS-box gene CmAP1 promotes flowering and petal development in Chinese chestnut (Castanea m.md</t>
        </is>
      </c>
      <c r="D156" s="2" t="inlineStr">
        <is>
          <t>MADS-box基因CmAP1促进板栗开花和花瓣发育</t>
        </is>
      </c>
      <c r="E156" s="2" t="inlineStr">
        <is>
          <t>基因组与基因家族</t>
        </is>
      </c>
      <c r="F156" s="2" t="inlineStr">
        <is>
          <t>基础研究</t>
        </is>
      </c>
      <c r="G156" s="2" t="inlineStr">
        <is>
          <t>CmAP1启动子顺式元件与激素调控</t>
        </is>
      </c>
      <c r="H156" s="2" t="inlineStr">
        <is>
          <t>CmAP1启动子（2124 bp）除TATA-box（28个）、CAAT-box（16个）外，还含生长素响应元件TGA、茉莉酸响应元件TGACG和WRKY转录因子结合位点W-box，提示生长素、茉莉酸和WRKY转录因子可能通过调控CmAP1的时空表达参与板栗花器官发育。</t>
        </is>
      </c>
    </row>
    <row r="157">
      <c r="A157" s="2" t="n">
        <v>156</v>
      </c>
      <c r="B157" s="2" t="n">
        <v>33</v>
      </c>
      <c r="C157" s="2" t="inlineStr">
        <is>
          <t>033_2024_The MADS-box gene CmAP1 promotes flowering and petal development in Chinese chestnut (Castanea m.md</t>
        </is>
      </c>
      <c r="D157" s="2" t="inlineStr">
        <is>
          <t>MADS-box基因CmAP1促进板栗开花和花瓣发育</t>
        </is>
      </c>
      <c r="E157" s="2" t="inlineStr">
        <is>
          <t>基因组与基因家族</t>
        </is>
      </c>
      <c r="F157" s="2" t="inlineStr">
        <is>
          <t>基础研究</t>
        </is>
      </c>
      <c r="G157" s="2" t="inlineStr">
        <is>
          <t>板栗花分化时期观测体系</t>
        </is>
      </c>
      <c r="H157" s="2" t="inlineStr">
        <is>
          <t>以'燕山红栗'为材料建立了板栗花序分化5个时期的取样体系：花序簇原基分化S1（4月29日）、花原基分化早期S2（5月7日）、中期S3（5月14日）、配子体分化S4（5月21日）、末端花器官分化S5（5月26日），为板栗花芽分化研究和生产管理提供时间参照。</t>
        </is>
      </c>
    </row>
    <row r="158">
      <c r="A158" s="2" t="n">
        <v>157</v>
      </c>
      <c r="B158" s="2" t="n">
        <v>33</v>
      </c>
      <c r="C158" s="2" t="inlineStr">
        <is>
          <t>033_2024_The MADS-box gene CmAP1 promotes flowering and petal development in Chinese chestnut (Castanea m.md</t>
        </is>
      </c>
      <c r="D158" s="2" t="inlineStr">
        <is>
          <t>MADS-box基因CmAP1促进板栗开花和花瓣发育</t>
        </is>
      </c>
      <c r="E158" s="2" t="inlineStr">
        <is>
          <t>基因组与基因家族</t>
        </is>
      </c>
      <c r="F158" s="2" t="inlineStr">
        <is>
          <t>繁殖育种</t>
        </is>
      </c>
      <c r="G158" s="2" t="inlineStr">
        <is>
          <t>CmAP1在育种中的应用潜力</t>
        </is>
      </c>
      <c r="H158" s="2" t="inlineStr">
        <is>
          <t>CmAP1过表达可促进开花，是板栗花期调控和缩短童期育种的候选基因；AP1同源基因在木本植物中功能分化明显（麻疯树JcAP1异源表达促早花、杨树LAP1不影响开花而调控侧枝生长），板栗中利用CmAP1进行基因工程改良需结合其A类基因功能特点。</t>
        </is>
      </c>
    </row>
    <row r="159">
      <c r="A159" s="2" t="n">
        <v>158</v>
      </c>
      <c r="B159" s="2" t="n">
        <v>34</v>
      </c>
      <c r="C159" s="2" t="inlineStr">
        <is>
          <t>034_2024_Transcriptomic and Metabolic Profiling Reveal the Mechanism of Ovule Development in Castanea mol.md</t>
        </is>
      </c>
      <c r="D159" s="2" t="inlineStr">
        <is>
          <t>转录组与代谢组联合分析揭示板栗胚珠发育机制</t>
        </is>
      </c>
      <c r="E159" s="2" t="inlineStr">
        <is>
          <t>生理与分子机制</t>
        </is>
      </c>
      <c r="F159" s="2" t="inlineStr">
        <is>
          <t>栽培管理</t>
        </is>
      </c>
      <c r="G159" s="2" t="inlineStr">
        <is>
          <t>板栗空苞的原因</t>
        </is>
      </c>
      <c r="H159" s="2" t="inlineStr">
        <is>
          <t>胚珠败育是板栗空苞（空蓬）的主因；受精关键期（授粉后15-18天）热激蛋白HSP基因显著下调，胚珠对温度异常极敏感，过高或过低温度会干扰生长素、乙烯等激素分泌及蔗糖合成与分解，导致受精失败和胚珠败育、产量下降。</t>
        </is>
      </c>
    </row>
    <row r="160">
      <c r="A160" s="2" t="n">
        <v>159</v>
      </c>
      <c r="B160" s="2" t="n">
        <v>34</v>
      </c>
      <c r="C160" s="2" t="inlineStr">
        <is>
          <t>034_2024_Transcriptomic and Metabolic Profiling Reveal the Mechanism of Ovule Development in Castanea mol.md</t>
        </is>
      </c>
      <c r="D160" s="2" t="inlineStr">
        <is>
          <t>转录组与代谢组联合分析揭示板栗胚珠发育机制</t>
        </is>
      </c>
      <c r="E160" s="2" t="inlineStr">
        <is>
          <t>生理与分子机制</t>
        </is>
      </c>
      <c r="F160" s="2" t="inlineStr">
        <is>
          <t>栽培管理</t>
        </is>
      </c>
      <c r="G160" s="2" t="inlineStr">
        <is>
          <t>外源激素减少空苞提高坐果</t>
        </is>
      </c>
      <c r="H160" s="2" t="inlineStr">
        <is>
          <t>在授粉期（6月6日）和受精关键期（6月15日）各喷一次50 mg/L乙烯（ETH）或乙烯前体ACC，可使每苞坚果数从2.22分别增至3.00和3.20；但浓度过高有害：ACC 400 mg/L时坐苞率仅23.32%、单果重从10.15 g降至6.90 g，ETH 400 mg/L坐苞率降至52.69%，生产应用须控制在低浓度。</t>
        </is>
      </c>
    </row>
    <row r="161">
      <c r="A161" s="2" t="n">
        <v>160</v>
      </c>
      <c r="B161" s="2" t="n">
        <v>34</v>
      </c>
      <c r="C161" s="2" t="inlineStr">
        <is>
          <t>034_2024_Transcriptomic and Metabolic Profiling Reveal the Mechanism of Ovule Development in Castanea mol.md</t>
        </is>
      </c>
      <c r="D161" s="2" t="inlineStr">
        <is>
          <t>转录组与代谢组联合分析揭示板栗胚珠发育机制</t>
        </is>
      </c>
      <c r="E161" s="2" t="inlineStr">
        <is>
          <t>生理与分子机制</t>
        </is>
      </c>
      <c r="F161" s="2" t="inlineStr">
        <is>
          <t>基础研究</t>
        </is>
      </c>
      <c r="G161" s="2" t="inlineStr">
        <is>
          <t>可育与败育胚珠的激素和糖分差异</t>
        </is>
      </c>
      <c r="H161" s="2" t="inlineStr">
        <is>
          <t>可育胚珠中蔗糖、麦芽糖及生长素IAA、脱落酸ABA、乙烯前体ACC含量显著高于败育胚珠，而葡萄糖、果糖、水杨酸SA、玉米素ZT含量较低；受精激活IAA、ABA和ACC信号促进胚珠早期发育，胚珠发育由多种激素动态协同调控。</t>
        </is>
      </c>
    </row>
    <row r="162">
      <c r="A162" s="2" t="n">
        <v>161</v>
      </c>
      <c r="B162" s="2" t="n">
        <v>34</v>
      </c>
      <c r="C162" s="2" t="inlineStr">
        <is>
          <t>034_2024_Transcriptomic and Metabolic Profiling Reveal the Mechanism of Ovule Development in Castanea mol.md</t>
        </is>
      </c>
      <c r="D162" s="2" t="inlineStr">
        <is>
          <t>转录组与代谢组联合分析揭示板栗胚珠发育机制</t>
        </is>
      </c>
      <c r="E162" s="2" t="inlineStr">
        <is>
          <t>生理与分子机制</t>
        </is>
      </c>
      <c r="F162" s="2" t="inlineStr">
        <is>
          <t>基础研究</t>
        </is>
      </c>
      <c r="G162" s="2" t="inlineStr">
        <is>
          <t>板栗胚珠发育进程</t>
        </is>
      </c>
      <c r="H162" s="2" t="inlineStr">
        <is>
          <t>每个板栗刺苞含3个子房，每子房有6-9室，每室2个倒生胚珠；授粉后7天子房显著膨大、珠被和珠心开始发育，15天胚囊成熟，15-18天为受精关键期（18天完成双受精），21天可育与败育胚珠外观可辨（败育胚珠扁平），27天败育胚珠开始褐化。</t>
        </is>
      </c>
    </row>
    <row r="163">
      <c r="A163" s="2" t="n">
        <v>162</v>
      </c>
      <c r="B163" s="2" t="n">
        <v>34</v>
      </c>
      <c r="C163" s="2" t="inlineStr">
        <is>
          <t>034_2024_Transcriptomic and Metabolic Profiling Reveal the Mechanism of Ovule Development in Castanea mol.md</t>
        </is>
      </c>
      <c r="D163" s="2" t="inlineStr">
        <is>
          <t>转录组与代谢组联合分析揭示板栗胚珠发育机制</t>
        </is>
      </c>
      <c r="E163" s="2" t="inlineStr">
        <is>
          <t>生理与分子机制</t>
        </is>
      </c>
      <c r="F163" s="2" t="inlineStr">
        <is>
          <t>基础研究</t>
        </is>
      </c>
      <c r="G163" s="2" t="inlineStr">
        <is>
          <t>乙烯合成关键基因</t>
        </is>
      </c>
      <c r="H163" s="2" t="inlineStr">
        <is>
          <t>CmACS7（ACC合酶）和CmACO1（ACC氧化酶）是乙烯合成的关键限速酶基因，二者在受精关键期（15-18 DAP）表达显著同步上调、受精完成后迅速下调，表明乙烯主要在受精期调控胚珠正常发育，可作为胚珠发育状态的分子标记。</t>
        </is>
      </c>
    </row>
    <row r="164">
      <c r="A164" s="2" t="n">
        <v>163</v>
      </c>
      <c r="B164" s="2" t="n">
        <v>35</v>
      </c>
      <c r="C164" s="2" t="inlineStr">
        <is>
          <t>035_2024_Utilization of Germinated Seeds as Functional Food Ingredients_ Optimization of Nutrient Composi.md</t>
        </is>
      </c>
      <c r="D164" s="2" t="inlineStr">
        <is>
          <t>发芽板栗种子作为功能性食品原料的利用：基于板栗发芽特性的营养成分与抗氧化活性演变优化</t>
        </is>
      </c>
      <c r="E164" s="2" t="inlineStr">
        <is>
          <t>加工与贮藏</t>
        </is>
      </c>
      <c r="F164" s="2" t="inlineStr">
        <is>
          <t>加工利用</t>
        </is>
      </c>
      <c r="G164" s="2" t="inlineStr">
        <is>
          <t>板栗发芽适宜工艺参数</t>
        </is>
      </c>
      <c r="H164" s="2" t="inlineStr">
        <is>
          <t>板栗种子在22℃、85%相对湿度湿沙条件下，第3天开始萌发，第4/6/8天发芽率分别达46.67%、83.33%、90%；第10天后胚芽开始木质化、不适于食品加工，综合生物量与功能成分，22℃发芽8天的板栗胚芽是功能性食品的最佳原料。</t>
        </is>
      </c>
    </row>
    <row r="165">
      <c r="A165" s="2" t="n">
        <v>164</v>
      </c>
      <c r="B165" s="2" t="n">
        <v>35</v>
      </c>
      <c r="C165" s="2" t="inlineStr">
        <is>
          <t>035_2024_Utilization of Germinated Seeds as Functional Food Ingredients_ Optimization of Nutrient Composi.md</t>
        </is>
      </c>
      <c r="D165" s="2" t="inlineStr">
        <is>
          <t>发芽板栗种子作为功能性食品原料的利用：基于板栗发芽特性的营养成分与抗氧化活性演变优化</t>
        </is>
      </c>
      <c r="E165" s="2" t="inlineStr">
        <is>
          <t>加工与贮藏</t>
        </is>
      </c>
      <c r="F165" s="2" t="inlineStr">
        <is>
          <t>营养功效</t>
        </is>
      </c>
      <c r="G165" s="2" t="inlineStr">
        <is>
          <t>发芽显著提升功能成分</t>
        </is>
      </c>
      <c r="H165" s="2" t="inlineStr">
        <is>
          <t>发芽使板栗胚芽GABA从0.49 mg/g增至1.68 mg/g（第8天峰值1.677 mg/g DW）、总黄酮从53.6增至129.7 mg/g、维生素C从21.1增至29.4 mg/g、可溶性蛋白从0.31%增至0.60%，ABTS抗氧化活性从1.52升至3.27 μmol TE/g；胚芽GABA峰期（第8天）比一年生作物种子（12-36小时）长，与板栗为多年生木本种子有关。</t>
        </is>
      </c>
    </row>
    <row r="166">
      <c r="A166" s="2" t="n">
        <v>165</v>
      </c>
      <c r="B166" s="2" t="n">
        <v>35</v>
      </c>
      <c r="C166" s="2" t="inlineStr">
        <is>
          <t>035_2024_Utilization of Germinated Seeds as Functional Food Ingredients_ Optimization of Nutrient Composi.md</t>
        </is>
      </c>
      <c r="D166" s="2" t="inlineStr">
        <is>
          <t>发芽板栗种子作为功能性食品原料的利用：基于板栗发芽特性的营养成分与抗氧化活性演变优化</t>
        </is>
      </c>
      <c r="E166" s="2" t="inlineStr">
        <is>
          <t>加工与贮藏</t>
        </is>
      </c>
      <c r="F166" s="2" t="inlineStr">
        <is>
          <t>加工利用</t>
        </is>
      </c>
      <c r="G166" s="2" t="inlineStr">
        <is>
          <t>发芽降低子叶淀粉与热量</t>
        </is>
      </c>
      <c r="H166" s="2" t="inlineStr">
        <is>
          <t>发芽过程中子叶直链淀粉由42.3%降至34.2%、支链淀粉由42.9%降至25.8%、总糖由12.6%降至11.4%、维生素C由1.45降至0.77 mg/g，可降低热量并改善营养；支链淀粉比直链淀粉更易被水解，子叶是板栗淀粉的主要储存器官。</t>
        </is>
      </c>
    </row>
    <row r="167">
      <c r="A167" s="2" t="n">
        <v>166</v>
      </c>
      <c r="B167" s="2" t="n">
        <v>35</v>
      </c>
      <c r="C167" s="2" t="inlineStr">
        <is>
          <t>035_2024_Utilization of Germinated Seeds as Functional Food Ingredients_ Optimization of Nutrient Composi.md</t>
        </is>
      </c>
      <c r="D167" s="2" t="inlineStr">
        <is>
          <t>发芽板栗种子作为功能性食品原料的利用：基于板栗发芽特性的营养成分与抗氧化活性演变优化</t>
        </is>
      </c>
      <c r="E167" s="2" t="inlineStr">
        <is>
          <t>加工与贮藏</t>
        </is>
      </c>
      <c r="F167" s="2" t="inlineStr">
        <is>
          <t>营养功效</t>
        </is>
      </c>
      <c r="G167" s="2" t="inlineStr">
        <is>
          <t>胚芽与子叶的营养成分差异</t>
        </is>
      </c>
      <c r="H167" s="2" t="inlineStr">
        <is>
          <t>板栗胚芽中葡萄糖含量约为子叶的80倍，D-果糖、肌醇、维生素C、GABA、多酚、黄酮含量及DPPH、ABTS抗氧化活性分别为子叶的约22.5、6、35、7.5、10、20和10、20倍；胚芽糖分以蔗糖、葡萄糖、D-果糖、肌醇为主（占98%以上），子叶糖分92%以上为蔗糖；D-木酮糖、D-半乳糖醛酸、D-核糖仅存在于胚芽中，是板栗胚芽的特征糖。</t>
        </is>
      </c>
    </row>
    <row r="168">
      <c r="A168" s="2" t="n">
        <v>167</v>
      </c>
      <c r="B168" s="2" t="n">
        <v>35</v>
      </c>
      <c r="C168" s="2" t="inlineStr">
        <is>
          <t>035_2024_Utilization of Germinated Seeds as Functional Food Ingredients_ Optimization of Nutrient Composi.md</t>
        </is>
      </c>
      <c r="D168" s="2" t="inlineStr">
        <is>
          <t>发芽板栗种子作为功能性食品原料的利用：基于板栗发芽特性的营养成分与抗氧化活性演变优化</t>
        </is>
      </c>
      <c r="E168" s="2" t="inlineStr">
        <is>
          <t>加工与贮藏</t>
        </is>
      </c>
      <c r="F168" s="2" t="inlineStr">
        <is>
          <t>品种选择</t>
        </is>
      </c>
      <c r="G168" s="2" t="inlineStr">
        <is>
          <t>适宜加工的板栗品种早丰</t>
        </is>
      </c>
      <c r="H168" s="2" t="inlineStr">
        <is>
          <t>研究选用河北迁西主栽品种'早丰'（Zaofeng），该品种知名度高、消费广泛，是当地居民喜用的食品加工原料，适合作为板栗发芽功能食品开发的品种。</t>
        </is>
      </c>
    </row>
    <row r="169">
      <c r="A169" s="2" t="n">
        <v>168</v>
      </c>
      <c r="B169" s="2" t="n">
        <v>36</v>
      </c>
      <c r="C169" s="2" t="inlineStr">
        <is>
          <t>036_2024_Whole genome sequencing of Castanea mollissima and molecular mechanisms of sugar and starch synt.md</t>
        </is>
      </c>
      <c r="D169" s="2" t="inlineStr">
        <is>
          <t>板栗全基因组测序及糖与淀粉合成的分子机制</t>
        </is>
      </c>
      <c r="E169" s="2" t="inlineStr">
        <is>
          <t>基因组与基因家族</t>
        </is>
      </c>
      <c r="F169" s="2" t="inlineStr">
        <is>
          <t>基础研究</t>
        </is>
      </c>
      <c r="G169" s="2" t="inlineStr">
        <is>
          <t>板栗首个T2T无间隙参考基因组</t>
        </is>
      </c>
      <c r="H169" s="2" t="inlineStr">
        <is>
          <t>利用PacBio HiFi（约35×）+Hi-C（71 Gb）+Illumina（约100×）对广西主栽品种'Lan You'测序，组装出首个板栗端粒到端粒（T2T）无间隙基因组：总长742.47 Mb、12条染色体，contig N50达52.20 Mb，注释35,008个蛋白编码基因（BUSCO完整度97.71%），显著优于此前5个已发表版本（contig N50仅0.13-5.23 Mb）；数据登录号PRJNA912750</t>
        </is>
      </c>
    </row>
    <row r="170">
      <c r="A170" s="2" t="n">
        <v>169</v>
      </c>
      <c r="B170" s="2" t="n">
        <v>36</v>
      </c>
      <c r="C170" s="2" t="inlineStr">
        <is>
          <t>036_2024_Whole genome sequencing of Castanea mollissima and molecular mechanisms of sugar and starch synt.md</t>
        </is>
      </c>
      <c r="D170" s="2" t="inlineStr">
        <is>
          <t>板栗全基因组测序及糖与淀粉合成的分子机制</t>
        </is>
      </c>
      <c r="E170" s="2" t="inlineStr">
        <is>
          <t>基因组与基因家族</t>
        </is>
      </c>
      <c r="F170" s="2" t="inlineStr">
        <is>
          <t>栽培管理</t>
        </is>
      </c>
      <c r="G170" s="2" t="inlineStr">
        <is>
          <t>花粉直感效应与授粉品种选择</t>
        </is>
      </c>
      <c r="H170" s="2" t="inlineStr">
        <is>
          <t>板栗自交不亲和，父本花粉直感显著影响种仁糖和淀粉含量：高糖淀粉组合YFR（永丰1号♀×永仁早♂）的可溶性糖、还原糖及枝链淀粉含量在成熟前各时期均显著高于低糖组合YFM（永丰1号♀×易门1♂）（p&lt;0.05）；研究推荐'永仁早'和'燕龙'作为授粉品种，以促进提早结果、改善板栗风味、提高坚果品质和经济效益</t>
        </is>
      </c>
    </row>
    <row r="171">
      <c r="A171" s="2" t="n">
        <v>170</v>
      </c>
      <c r="B171" s="2" t="n">
        <v>36</v>
      </c>
      <c r="C171" s="2" t="inlineStr">
        <is>
          <t>036_2024_Whole genome sequencing of Castanea mollissima and molecular mechanisms of sugar and starch synt.md</t>
        </is>
      </c>
      <c r="D171" s="2" t="inlineStr">
        <is>
          <t>板栗全基因组测序及糖与淀粉合成的分子机制</t>
        </is>
      </c>
      <c r="E171" s="2" t="inlineStr">
        <is>
          <t>基因组与基因家族</t>
        </is>
      </c>
      <c r="F171" s="2" t="inlineStr">
        <is>
          <t>基础研究</t>
        </is>
      </c>
      <c r="G171" s="2" t="inlineStr">
        <is>
          <t>板栗淀粉含量与淀粉合成酶基因</t>
        </is>
      </c>
      <c r="H171" s="2" t="inlineStr">
        <is>
          <t>板栗淀粉由直链淀粉和枝链淀粉组成，占坚果干重的47%-80%；本研究鉴定23个淀粉合成主酶基因：AGPase 5个、GBSS 2个、SSS 6个、SBE 6个、ISA 4个，蔗糖水解的INV（转化酶）基因家族成员最多（15个）；高淀粉组合YFR中4个SBE基因（Camol02G0091300等）和3个SSS基因在成熟前0天（T3期）特异性高表达，与其枝链淀粉积累高峰一致</t>
        </is>
      </c>
    </row>
    <row r="172">
      <c r="A172" s="2" t="n">
        <v>171</v>
      </c>
      <c r="B172" s="2" t="n">
        <v>36</v>
      </c>
      <c r="C172" s="2" t="inlineStr">
        <is>
          <t>036_2024_Whole genome sequencing of Castanea mollissima and molecular mechanisms of sugar and starch synt.md</t>
        </is>
      </c>
      <c r="D172" s="2" t="inlineStr">
        <is>
          <t>板栗全基因组测序及糖与淀粉合成的分子机制</t>
        </is>
      </c>
      <c r="E172" s="2" t="inlineStr">
        <is>
          <t>基因组与基因家族</t>
        </is>
      </c>
      <c r="F172" s="2" t="inlineStr">
        <is>
          <t>基础研究</t>
        </is>
      </c>
      <c r="G172" s="2" t="inlineStr">
        <is>
          <t>SBE枢纽基因与层级调控级联</t>
        </is>
      </c>
      <c r="H172" s="2" t="inlineStr">
        <is>
          <t>时序基因共表达网络（TO-GCN）中SBE基因Camol08G0254600内部连接度最高，为编码枝链淀粉合成限速酶的枢纽基因，枝链淀粉含量归入YFR特异的T3子网络（L7，含2个SBE和1个AGPase基因）；转录因子结合位点分析揭示Trihelix（Camol07G0151800）→bZIP（Camol02G0144400）→C2H2（Camol02G0049200）→SBE的三级层级调控级联</t>
        </is>
      </c>
    </row>
    <row r="173">
      <c r="A173" s="2" t="n">
        <v>172</v>
      </c>
      <c r="B173" s="2" t="n">
        <v>36</v>
      </c>
      <c r="C173" s="2" t="inlineStr">
        <is>
          <t>036_2024_Whole genome sequencing of Castanea mollissima and molecular mechanisms of sugar and starch synt.md</t>
        </is>
      </c>
      <c r="D173" s="2" t="inlineStr">
        <is>
          <t>板栗全基因组测序及糖与淀粉合成的分子机制</t>
        </is>
      </c>
      <c r="E173" s="2" t="inlineStr">
        <is>
          <t>基因组与基因家族</t>
        </is>
      </c>
      <c r="F173" s="2" t="inlineStr">
        <is>
          <t>基础研究</t>
        </is>
      </c>
      <c r="G173" s="2" t="inlineStr">
        <is>
          <t>板栗基因组进化与重复序列特征</t>
        </is>
      </c>
      <c r="H173" s="2" t="inlineStr">
        <is>
          <t>板栗含19,654个基因家族，其中763个（4.0%）为特有基因家族（含1,794个基因）；与3种栎树（夏栎、栓皮栎、麻栎）分化时间约2,130万年前；重复序列占基因组53.28%，其中LTR逆转录转座子占28.08%、DNA转座子占19.35%；扩张基因家族显著富集于单萜和苯丙烷生物合成以及淀粉、蔗糖代谢通路，收缩基因家族富集于次生代谢通路</t>
        </is>
      </c>
    </row>
    <row r="174">
      <c r="A174" s="2" t="n">
        <v>173</v>
      </c>
      <c r="B174" s="2" t="n">
        <v>37</v>
      </c>
      <c r="C174" s="2" t="inlineStr">
        <is>
          <t>037_2023_A Novel Non-Specific Lipid Transfer Protein Gene, CmnsLTP6.9, Enhanced Osmotic and Drought Toler.md</t>
        </is>
      </c>
      <c r="D174" s="2" t="inlineStr">
        <is>
          <t>新型非特异性脂质转运蛋白基因CmnsLTP6.9通过调控ROS清除和脂质重塑增强板栗渗透与干旱耐受性</t>
        </is>
      </c>
      <c r="E174" s="2" t="inlineStr">
        <is>
          <t>生理与分子机制</t>
        </is>
      </c>
      <c r="F174" s="2" t="inlineStr">
        <is>
          <t>基础研究</t>
        </is>
      </c>
      <c r="G174" s="2" t="inlineStr">
        <is>
          <t>板栗nsLTP基因家族首次全基因组鉴定</t>
        </is>
      </c>
      <c r="H174" s="2" t="inlineStr">
        <is>
          <t>首次在板栗全基因组鉴定出60个非特异性脂质转运蛋白（CmnsLTPs），分9个亚家族：type I最多（13个），其次type V（12个）、type XI（10个）、type VI（9个）、type II和IV各5个、type IX 3个、type VIII 2个、type III仅1个；46个成员含保守motif 4、38个含motif 6；半数以上基因在雄花4个发育阶段高表达（如CmnsLTP1.1、1.2、6.2、6.9），推测参与花粉成熟期脂质转运；启动子含光、激素（MeJA、SA、ABA、生长素、赤霉素）和逆境响应等36种顺式作用元件</t>
        </is>
      </c>
    </row>
    <row r="175">
      <c r="A175" s="2" t="n">
        <v>174</v>
      </c>
      <c r="B175" s="2" t="n">
        <v>37</v>
      </c>
      <c r="C175" s="2" t="inlineStr">
        <is>
          <t>037_2023_A Novel Non-Specific Lipid Transfer Protein Gene, CmnsLTP6.9, Enhanced Osmotic and Drought Toler.md</t>
        </is>
      </c>
      <c r="D175" s="2" t="inlineStr">
        <is>
          <t>新型非特异性脂质转运蛋白基因CmnsLTP6.9通过调控ROS清除和脂质重塑增强板栗渗透与干旱耐受性</t>
        </is>
      </c>
      <c r="E175" s="2" t="inlineStr">
        <is>
          <t>生理与分子机制</t>
        </is>
      </c>
      <c r="F175" s="2" t="inlineStr">
        <is>
          <t>基础研究</t>
        </is>
      </c>
      <c r="G175" s="2" t="inlineStr">
        <is>
          <t>CmnsLTP6.9剪接体功能差异与信号肽必要性</t>
        </is>
      </c>
      <c r="H175" s="2" t="inlineStr">
        <is>
          <t>CmnsLTP6.9受渗透和干旱胁迫显著诱导上调；两个剪接体中CmnsLTP6.9L过表达显著增强拟南芥渗透（250 mM甘露醇）和干旱（停水2周）耐受性，而CmnsLTP6.9S因5'端缺失87 bp（编码29 aa，含24 aa信号肽）、缺乏N端信号肽而完全丧失该功能，其株系表型、ROS含量与抗氧化酶活性均与野生型无显著差异，证明信号肽对CmnsLTP行使抗逆功能必不可少</t>
        </is>
      </c>
    </row>
    <row r="176">
      <c r="A176" s="2" t="n">
        <v>175</v>
      </c>
      <c r="B176" s="2" t="n">
        <v>37</v>
      </c>
      <c r="C176" s="2" t="inlineStr">
        <is>
          <t>037_2023_A Novel Non-Specific Lipid Transfer Protein Gene, CmnsLTP6.9, Enhanced Osmotic and Drought Toler.md</t>
        </is>
      </c>
      <c r="D176" s="2" t="inlineStr">
        <is>
          <t>新型非特异性脂质转运蛋白基因CmnsLTP6.9通过调控ROS清除和脂质重塑增强板栗渗透与干旱耐受性</t>
        </is>
      </c>
      <c r="E176" s="2" t="inlineStr">
        <is>
          <t>生理与分子机制</t>
        </is>
      </c>
      <c r="F176" s="2" t="inlineStr">
        <is>
          <t>基础研究</t>
        </is>
      </c>
      <c r="G176" s="2" t="inlineStr">
        <is>
          <t>抗旱机制一：增强ROS清除能力</t>
        </is>
      </c>
      <c r="H176" s="2" t="inlineStr">
        <is>
          <t>渗透和干旱胁迫下，CmnsLTP6.9L过表达株系DAB/NBT染色明显较浅，H2O2积累显著慢于野生型，SOD和POD活性显著升高（p&lt;0.05），同时相对含水量更高、相对电解质泄漏和MDA含量更低，说明其通过增强抗氧化酶系统清除ROS、减轻膜脂过氧化伤害，从而提高渗透和干旱耐受性</t>
        </is>
      </c>
    </row>
    <row r="177">
      <c r="A177" s="2" t="n">
        <v>176</v>
      </c>
      <c r="B177" s="2" t="n">
        <v>37</v>
      </c>
      <c r="C177" s="2" t="inlineStr">
        <is>
          <t>037_2023_A Novel Non-Specific Lipid Transfer Protein Gene, CmnsLTP6.9, Enhanced Osmotic and Drought Toler.md</t>
        </is>
      </c>
      <c r="D177" s="2" t="inlineStr">
        <is>
          <t>新型非特异性脂质转运蛋白基因CmnsLTP6.9通过调控ROS清除和脂质重塑增强板栗渗透与干旱耐受性</t>
        </is>
      </c>
      <c r="E177" s="2" t="inlineStr">
        <is>
          <t>生理与分子机制</t>
        </is>
      </c>
      <c r="F177" s="2" t="inlineStr">
        <is>
          <t>基础研究</t>
        </is>
      </c>
      <c r="G177" s="2" t="inlineStr">
        <is>
          <t>抗旱机制二：脂质重塑维持膜完整性</t>
        </is>
      </c>
      <c r="H177" s="2" t="inlineStr">
        <is>
          <t>UHPLC-QTOF-MS脂质组学显示，CmnsLTP6.9L主要改变并上调脂肪酸酰基和甘油磷脂类差异脂质，其中2种磷脂酰肌醇（PI）和1种磷脂酰胆碱（PC）比例显著增加，有利于维持膜完整性和流动性；L1_vs_L2差异脂质多达388个（171上调/217下调），而W_vs_L1仅105个，证明L与S剪接体的脂质转运功能不同</t>
        </is>
      </c>
    </row>
    <row r="178">
      <c r="A178" s="2" t="n">
        <v>177</v>
      </c>
      <c r="B178" s="2" t="n">
        <v>37</v>
      </c>
      <c r="C178" s="2" t="inlineStr">
        <is>
          <t>037_2023_A Novel Non-Specific Lipid Transfer Protein Gene, CmnsLTP6.9, Enhanced Osmotic and Drought Toler.md</t>
        </is>
      </c>
      <c r="D178" s="2" t="inlineStr">
        <is>
          <t>新型非特异性脂质转运蛋白基因CmnsLTP6.9通过调控ROS清除和脂质重塑增强板栗渗透与干旱耐受性</t>
        </is>
      </c>
      <c r="E178" s="2" t="inlineStr">
        <is>
          <t>生理与分子机制</t>
        </is>
      </c>
      <c r="F178" s="2" t="inlineStr">
        <is>
          <t>栽培管理</t>
        </is>
      </c>
      <c r="G178" s="2" t="inlineStr">
        <is>
          <t>板栗干旱胁迫危害背景</t>
        </is>
      </c>
      <c r="H178" s="2" t="inlineStr">
        <is>
          <t>板栗多栽培于瘠薄山地并用于荒山造林，渗透和干旱是限制其生长发育、果实产量和品质的常见非生物胁迫；已有研究表明干旱胁迫降低'燕山早丰'幼苗光合作用、产量和碳氮代谢，水分胁迫还影响板栗细胞膜脂氧化和钙化；本研究为干旱地区板栗耐旱品种选育提供了CmnsLTP6.9L等候选基因</t>
        </is>
      </c>
    </row>
    <row r="179">
      <c r="A179" s="2" t="n">
        <v>178</v>
      </c>
      <c r="B179" s="2" t="n">
        <v>38</v>
      </c>
      <c r="C179" s="2" t="inlineStr">
        <is>
          <t>038_2023_A transcriptomic evaluation of the mechanism of programmed cell death of the replaceable bud in .md</t>
        </is>
      </c>
      <c r="D179" s="2" t="inlineStr">
        <is>
          <t>中国板栗'替码珍珠'可替换芽（替码）程序性细胞死亡机制的转录组学评估</t>
        </is>
      </c>
      <c r="E179" s="2" t="inlineStr">
        <is>
          <t>生理与分子机制</t>
        </is>
      </c>
      <c r="F179" s="2" t="inlineStr">
        <is>
          <t>基础研究</t>
        </is>
      </c>
      <c r="G179" s="2" t="inlineStr">
        <is>
          <t>'替码珍珠'替码PCD表型进程</t>
        </is>
      </c>
      <c r="H179" s="2" t="inlineStr">
        <is>
          <t>'替码珍珠'是1979年首次描述的板栗自然突变品种，结果枝顶端芽（替码）翌年自然衰老死亡，形成紧凑树冠；替码死亡为程序性细胞死亡（PCD），表现为染色质凝缩、核降解、DNA梯状条带、液泡膜内陷、自噬等；花后20天芽绿色正常，25天黄绿且未形成离层，30天棕黄并出现部分离层</t>
        </is>
      </c>
    </row>
    <row r="180">
      <c r="A180" s="2" t="n">
        <v>179</v>
      </c>
      <c r="B180" s="2" t="n">
        <v>38</v>
      </c>
      <c r="C180" s="2" t="inlineStr">
        <is>
          <t>038_2023_A transcriptomic evaluation of the mechanism of programmed cell death of the replaceable bud in .md</t>
        </is>
      </c>
      <c r="D180" s="2" t="inlineStr">
        <is>
          <t>中国板栗'替码珍珠'可替换芽（替码）程序性细胞死亡机制的转录组学评估</t>
        </is>
      </c>
      <c r="E180" s="2" t="inlineStr">
        <is>
          <t>生理与分子机制</t>
        </is>
      </c>
      <c r="F180" s="2" t="inlineStr">
        <is>
          <t>基础研究</t>
        </is>
      </c>
      <c r="G180" s="2" t="inlineStr">
        <is>
          <t>替码PCD的激素调控格局</t>
        </is>
      </c>
      <c r="H180" s="2" t="inlineStr">
        <is>
          <t>植物激素信号转导是替码PCD的主要上游调控通路（93个DEGs，显著富集）；乙烯生物合成基因（3个ACS、12个ACO）及乙烯信号组分（MAPK、ERS1、EIN3、ERF）在PCD中期（S25）显著上调，而生长素（AUX/IAA、SAUR）与细胞分裂素（AHP、ARR）通路基因显著下调，结合前期乙烯含量高、生长素和细胞分裂素含量低的测定，表明替码PCD主要受高乙烯、低生长素、低细胞分裂素调控，乙烯与生长素/细胞分裂素拮抗互作</t>
        </is>
      </c>
    </row>
    <row r="181">
      <c r="A181" s="2" t="n">
        <v>180</v>
      </c>
      <c r="B181" s="2" t="n">
        <v>38</v>
      </c>
      <c r="C181" s="2" t="inlineStr">
        <is>
          <t>038_2023_A transcriptomic evaluation of the mechanism of programmed cell death of the replaceable bud in .md</t>
        </is>
      </c>
      <c r="D181" s="2" t="inlineStr">
        <is>
          <t>中国板栗'替码珍珠'可替换芽（替码）程序性细胞死亡机制的转录组学评估</t>
        </is>
      </c>
      <c r="E181" s="2" t="inlineStr">
        <is>
          <t>生理与分子机制</t>
        </is>
      </c>
      <c r="F181" s="2" t="inlineStr">
        <is>
          <t>基础研究</t>
        </is>
      </c>
      <c r="G181" s="2" t="inlineStr">
        <is>
          <t>PCD启动与执行的分子机制</t>
        </is>
      </c>
      <c r="H181" s="2" t="inlineStr">
        <is>
          <t>替码PCD启动涉及NAC（43个）、MYB（49个）、bHLH（31个）、MADS-box（7个）转录因子、细胞色素c及其氧化酶上调和Ca2+信号（36个DEGs：4个Ca2+通道、9个CDPK、9个CBL、14个钙调蛋白），CDPK可能通过激活RBOH促进ROS积累；PCD执行由自噬（18个ATG相关蛋白、6个VPS蛋白）与metacaspase-9、8个半胱氨酸蛋白酶、2个液泡加工酶、9个核酸内切酶、19个天冬氨酸蛋白酶、17个果胶酯酶等水解酶协同完成，降解DNA和细胞组分</t>
        </is>
      </c>
    </row>
    <row r="182">
      <c r="A182" s="2" t="n">
        <v>181</v>
      </c>
      <c r="B182" s="2" t="n">
        <v>38</v>
      </c>
      <c r="C182" s="2" t="inlineStr">
        <is>
          <t>038_2023_A transcriptomic evaluation of the mechanism of programmed cell death of the replaceable bud in .md</t>
        </is>
      </c>
      <c r="D182" s="2" t="inlineStr">
        <is>
          <t>中国板栗'替码珍珠'可替换芽（替码）程序性细胞死亡机制的转录组学评估</t>
        </is>
      </c>
      <c r="E182" s="2" t="inlineStr">
        <is>
          <t>生理与分子机制</t>
        </is>
      </c>
      <c r="F182" s="2" t="inlineStr">
        <is>
          <t>栽培管理</t>
        </is>
      </c>
      <c r="G182" s="2" t="inlineStr">
        <is>
          <t>板栗结果习性与紧凑型品种价值</t>
        </is>
      </c>
      <c r="H182" s="2" t="inlineStr">
        <is>
          <t>普通板栗结果枝顶端芽翌年发育为新结果枝，果实主要着生于树冠外围，随树龄增长结果部位外移、产量下降；'替码珍珠'顶端芽自然死亡形成紧凑树冠，是紧凑型/矮化育种的特殊材料，其三阶段PCD模型（乙烯信号激活→转录因子、Ca2+、细胞色素c启动→自噬与蛋白酶执行）为板栗芽特性和树冠管理改良提供理论参考</t>
        </is>
      </c>
    </row>
    <row r="183">
      <c r="A183" s="2" t="n">
        <v>182</v>
      </c>
      <c r="B183" s="2" t="n">
        <v>39</v>
      </c>
      <c r="C183" s="2" t="inlineStr">
        <is>
          <t>039_2023_Anticancer Activity of Polysaccharides from Castanea Mollissima Blume in H22 Tumor-Bearing Mice.md</t>
        </is>
      </c>
      <c r="D183" s="2" t="inlineStr">
        <is>
          <t>板栗多糖对H22荷瘤小鼠的抗肿瘤活性</t>
        </is>
      </c>
      <c r="E183" s="2" t="inlineStr">
        <is>
          <t>生物活性与功效</t>
        </is>
      </c>
      <c r="F183" s="2" t="inlineStr">
        <is>
          <t>营养功效</t>
        </is>
      </c>
      <c r="G183" s="2" t="inlineStr">
        <is>
          <t>板栗多糖显著抑制肿瘤生长</t>
        </is>
      </c>
      <c r="H183" s="2" t="inlineStr">
        <is>
          <t>热水提取+三相分配法纯化的板栗多糖（TCP）灌胃H22肝癌荷瘤小鼠14天，低剂量100 mg/(kg·d)肿瘤抑制率35.64%，高剂量500 mg/(kg·d)达56.61%，接近化疗药5-氟尿嘧啶的59.81%；高剂量组平均瘤体积显著低于模型组（p&lt;0.05），肿瘤增长趋势明显放缓</t>
        </is>
      </c>
    </row>
    <row r="184">
      <c r="A184" s="2" t="n">
        <v>183</v>
      </c>
      <c r="B184" s="2" t="n">
        <v>39</v>
      </c>
      <c r="C184" s="2" t="inlineStr">
        <is>
          <t>039_2023_Anticancer Activity of Polysaccharides from Castanea Mollissima Blume in H22 Tumor-Bearing Mice.md</t>
        </is>
      </c>
      <c r="D184" s="2" t="inlineStr">
        <is>
          <t>板栗多糖对H22荷瘤小鼠的抗肿瘤活性</t>
        </is>
      </c>
      <c r="E184" s="2" t="inlineStr">
        <is>
          <t>生物活性与功效</t>
        </is>
      </c>
      <c r="F184" s="2" t="inlineStr">
        <is>
          <t>营养功效</t>
        </is>
      </c>
      <c r="G184" s="2" t="inlineStr">
        <is>
          <t>板栗多糖的免疫调节抗肿瘤机制</t>
        </is>
      </c>
      <c r="H184" s="2" t="inlineStr">
        <is>
          <t>TCP剂量依赖性增强ConA（5 µg/mL，T细胞丝裂原）和LPS（10 µg/mL，B细胞丝裂原）诱导的荷瘤小鼠脾淋巴细胞增殖（p&lt;0.05），并显著提高巨噬细胞中性红吞噬能力，表明其通过增强宿主细胞免疫和体液免疫、而非直接细胞毒作用间接抑制肿瘤</t>
        </is>
      </c>
    </row>
    <row r="185">
      <c r="A185" s="2" t="n">
        <v>184</v>
      </c>
      <c r="B185" s="2" t="n">
        <v>39</v>
      </c>
      <c r="C185" s="2" t="inlineStr">
        <is>
          <t>039_2023_Anticancer Activity of Polysaccharides from Castanea Mollissima Blume in H22 Tumor-Bearing Mice.md</t>
        </is>
      </c>
      <c r="D185" s="2" t="inlineStr">
        <is>
          <t>板栗多糖对H22荷瘤小鼠的抗肿瘤活性</t>
        </is>
      </c>
      <c r="E185" s="2" t="inlineStr">
        <is>
          <t>生物活性与功效</t>
        </is>
      </c>
      <c r="F185" s="2" t="inlineStr">
        <is>
          <t>营养功效</t>
        </is>
      </c>
      <c r="G185" s="2" t="inlineStr">
        <is>
          <t>板栗多糖提升T淋巴细胞亚群比例</t>
        </is>
      </c>
      <c r="H185" s="2" t="inlineStr">
        <is>
          <t>TCP显著提高荷瘤小鼠外周血T淋巴细胞比例：CD3+从模型组41.43%升至高剂量组66.57%，CD4+从28.46%升至38.80%，CD8+从16.71%升至25.66%，同时降低CD19+ B细胞比例（50.89%→32.39%）（均p&lt;0.05），增强CD4+辅助功能和CD8+细胞毒活性</t>
        </is>
      </c>
    </row>
    <row r="186">
      <c r="A186" s="2" t="n">
        <v>185</v>
      </c>
      <c r="B186" s="2" t="n">
        <v>39</v>
      </c>
      <c r="C186" s="2" t="inlineStr">
        <is>
          <t>039_2023_Anticancer Activity of Polysaccharides from Castanea Mollissima Blume in H22 Tumor-Bearing Mice.md</t>
        </is>
      </c>
      <c r="D186" s="2" t="inlineStr">
        <is>
          <t>板栗多糖对H22荷瘤小鼠的抗肿瘤活性</t>
        </is>
      </c>
      <c r="E186" s="2" t="inlineStr">
        <is>
          <t>生物活性与功效</t>
        </is>
      </c>
      <c r="F186" s="2" t="inlineStr">
        <is>
          <t>营养功效</t>
        </is>
      </c>
      <c r="G186" s="2" t="inlineStr">
        <is>
          <t>板栗多糖保护免疫器官</t>
        </is>
      </c>
      <c r="H186" s="2" t="inlineStr">
        <is>
          <t>荷瘤模型组小鼠脾肿大（脾指数8.17 mg/g）、胸腺萎缩（胸腺指数2.11 mg/g）；TCP处理后脾指数降至6.16（低剂量）/5.72 mg/g（高剂量），胸腺指数升至2.45/3.08 mg/g（p&lt;0.05），有效缓解肿瘤引起的免疫器官损伤、维持机体免疫功能</t>
        </is>
      </c>
    </row>
    <row r="187">
      <c r="A187" s="2" t="n">
        <v>186</v>
      </c>
      <c r="B187" s="2" t="n">
        <v>39</v>
      </c>
      <c r="C187" s="2" t="inlineStr">
        <is>
          <t>039_2023_Anticancer Activity of Polysaccharides from Castanea Mollissima Blume in H22 Tumor-Bearing Mice.md</t>
        </is>
      </c>
      <c r="D187" s="2" t="inlineStr">
        <is>
          <t>板栗多糖对H22荷瘤小鼠的抗肿瘤活性</t>
        </is>
      </c>
      <c r="E187" s="2" t="inlineStr">
        <is>
          <t>生物活性与功效</t>
        </is>
      </c>
      <c r="F187" s="2" t="inlineStr">
        <is>
          <t>加工利用</t>
        </is>
      </c>
      <c r="G187" s="2" t="inlineStr">
        <is>
          <t>板栗多糖提取纯化工艺</t>
        </is>
      </c>
      <c r="H187" s="2" t="inlineStr">
        <is>
          <t>板栗多糖制备工艺：栗仁粉与去离子水按1:20料液比、80℃搅拌提取2 h，重复2次；上清液减压浓缩至300 mL，加60 g硫酸铵溶解后加450 mL叔丁醇，35℃水浴30 min形成三相体系；4000 rpm离心10 min取下层相，3000 Da透析袋透析48 h（每12 h换水），浓缩冻干得TCP；该三相分配法可同步完成除蛋白</t>
        </is>
      </c>
    </row>
    <row r="188">
      <c r="A188" s="2" t="n">
        <v>187</v>
      </c>
      <c r="B188" s="2" t="n">
        <v>40</v>
      </c>
      <c r="C188" s="2" t="inlineStr">
        <is>
          <t>040_2023_Comprehensive evaluation of fruit quality for premium Wangmo Castanea mollissima plants.md</t>
        </is>
      </c>
      <c r="D188" s="2" t="inlineStr">
        <is>
          <t>望谟板栗优良单株果实品质综合评价</t>
        </is>
      </c>
      <c r="E188" s="2" t="inlineStr">
        <is>
          <t>果实品质与营养</t>
        </is>
      </c>
      <c r="F188" s="2" t="inlineStr">
        <is>
          <t>品种选择</t>
        </is>
      </c>
      <c r="G188" s="2" t="inlineStr">
        <is>
          <t>望谟板栗优良单株综合排名与优株特性</t>
        </is>
      </c>
      <c r="H188" s="2" t="inlineStr">
        <is>
          <t>对贵州望谟32株优良单株（GM1-GM32）测定23个性状并进行PCA（7个主成分累计贡献率76.23%），综合品质前10位为GM32&gt;GM31&gt;GM29&gt;GM1&gt;GM8&gt;GM17&gt;GM10&gt;GM30&gt;GM3&gt;GM28，可作为优质种质选育与推广候选；GM-32表现最佳：单苞重32.47 g、坚果纵径27.93 mm、坚果厚20.62 mm，苞大刺短、坚果大、含水率低（57.43%），Fe、Mg、Zn含量在32株中最高</t>
        </is>
      </c>
    </row>
    <row r="189">
      <c r="A189" s="2" t="n">
        <v>188</v>
      </c>
      <c r="B189" s="2" t="n">
        <v>40</v>
      </c>
      <c r="C189" s="2" t="inlineStr">
        <is>
          <t>040_2023_Comprehensive evaluation of fruit quality for premium Wangmo Castanea mollissima plants.md</t>
        </is>
      </c>
      <c r="D189" s="2" t="inlineStr">
        <is>
          <t>望谟板栗优良单株果实品质综合评价</t>
        </is>
      </c>
      <c r="E189" s="2" t="inlineStr">
        <is>
          <t>果实品质与营养</t>
        </is>
      </c>
      <c r="F189" s="2" t="inlineStr">
        <is>
          <t>品种选择</t>
        </is>
      </c>
      <c r="G189" s="2" t="inlineStr">
        <is>
          <t>望谟板栗富钾特色</t>
        </is>
      </c>
      <c r="H189" s="2" t="inlineStr">
        <is>
          <t>望谟板栗平均钾（K）含量7,652 mg/kg（范围4,948-9,271 mg/kg），远高于长江中下游25个主栽品种的平均值5,815 mg/kg，印证权威测定其含钾量居全国之首；GM-8、GM-23、GM-28的K含量超过9,000 mg/kg，可作为富钾优质品种栽培推广；望谟县为中国板栗之乡和板栗地理标志县，'斗极栗'品牌2019年获香港知识产权交易中心挂牌</t>
        </is>
      </c>
    </row>
    <row r="190">
      <c r="A190" s="2" t="n">
        <v>189</v>
      </c>
      <c r="B190" s="2" t="n">
        <v>40</v>
      </c>
      <c r="C190" s="2" t="inlineStr">
        <is>
          <t>040_2023_Comprehensive evaluation of fruit quality for premium Wangmo Castanea mollissima plants.md</t>
        </is>
      </c>
      <c r="D190" s="2" t="inlineStr">
        <is>
          <t>望谟板栗优良单株果实品质综合评价</t>
        </is>
      </c>
      <c r="E190" s="2" t="inlineStr">
        <is>
          <t>果实品质与营养</t>
        </is>
      </c>
      <c r="F190" s="2" t="inlineStr">
        <is>
          <t>品种选择</t>
        </is>
      </c>
      <c r="G190" s="2" t="inlineStr">
        <is>
          <t>望谟板栗品质指标水平与产地比较</t>
        </is>
      </c>
      <c r="H190" s="2" t="inlineStr">
        <is>
          <t>望谟板栗平均淀粉含量53.93%（44.09%-62.85%）、可溶性糖10.99%（5.03%-18.10%）、可溶性蛋白0.37%、脂肪1.77 g/100g、总酸1.70 g/kg；与燕山北部山区（糖9.80%、淀粉34.3%、蛋白0.56%）、长江中下游主栽品种（糖5.68%、淀粉66.27%）相比，望谟板栗淀粉含量较高、糖居中、可溶性蛋白偏低；可溶性糖与淀粉含量显著负相关（r=-0.64），坚果横径、纵径与可溶性糖正相关、与淀粉和Mn负相关</t>
        </is>
      </c>
    </row>
    <row r="191">
      <c r="A191" s="2" t="n">
        <v>190</v>
      </c>
      <c r="B191" s="2" t="n">
        <v>40</v>
      </c>
      <c r="C191" s="2" t="inlineStr">
        <is>
          <t>040_2023_Comprehensive evaluation of fruit quality for premium Wangmo Castanea mollissima plants.md</t>
        </is>
      </c>
      <c r="D191" s="2" t="inlineStr">
        <is>
          <t>望谟板栗优良单株果实品质综合评价</t>
        </is>
      </c>
      <c r="E191" s="2" t="inlineStr">
        <is>
          <t>果实品质与营养</t>
        </is>
      </c>
      <c r="F191" s="2" t="inlineStr">
        <is>
          <t>繁殖育种</t>
        </is>
      </c>
      <c r="G191" s="2" t="inlineStr">
        <is>
          <t>性状变异程度与育种改良潜力</t>
        </is>
      </c>
      <c r="H191" s="2" t="inlineStr">
        <is>
          <t>32株23个性状变异系数7.61%-48.86%，品质性状平均CV（20.32%）大于表型性状（16.01%）；Mn含量变异最大（48.86%），可溶性糖（30.19%）、单苞重（27.46%）、总酸（24.80%）、灰分（23.52%）次之，改良潜力大；淀粉（7.61%）、果形指数（9.10%）、坚果纵径（10.25%）最稳定、改良空间小；单苞重与苞横径、纵径极显著正相关（r=0.63、0.72）</t>
        </is>
      </c>
    </row>
    <row r="192">
      <c r="A192" s="2" t="n">
        <v>191</v>
      </c>
      <c r="B192" s="2" t="n">
        <v>40</v>
      </c>
      <c r="C192" s="2" t="inlineStr">
        <is>
          <t>040_2023_Comprehensive evaluation of fruit quality for premium Wangmo Castanea mollissima plants.md</t>
        </is>
      </c>
      <c r="D192" s="2" t="inlineStr">
        <is>
          <t>望谟板栗优良单株果实品质综合评价</t>
        </is>
      </c>
      <c r="E192" s="2" t="inlineStr">
        <is>
          <t>果实品质与营养</t>
        </is>
      </c>
      <c r="F192" s="2" t="inlineStr">
        <is>
          <t>采收贮藏</t>
        </is>
      </c>
      <c r="G192" s="2" t="inlineStr">
        <is>
          <t>坚果含水率与耐贮性</t>
        </is>
      </c>
      <c r="H192" s="2" t="inlineStr">
        <is>
          <t>坚果含水率对板栗贮藏影响很大；32株含水率53.27%-86.61%（平均65.47%），明显高于其他产区品种；含水率与Ca（r=-0.41）、可溶性蛋白（r=-0.42）、可溶性糖（r=-0.41）、脂肪（r=-0.35）显著负相关，提示降低坚果含水率可同时提升耐贮性与营养品质；低含水率单株如GM-31（55.32%）、GM-28（55.49%）、GM-32（57.43%）更耐贮藏</t>
        </is>
      </c>
    </row>
    <row r="193">
      <c r="A193" s="2" t="n">
        <v>192</v>
      </c>
      <c r="B193" s="2" t="n">
        <v>40</v>
      </c>
      <c r="C193" s="2" t="inlineStr">
        <is>
          <t>040_2023_Comprehensive evaluation of fruit quality for premium Wangmo Castanea mollissima plants.md</t>
        </is>
      </c>
      <c r="D193" s="2" t="inlineStr">
        <is>
          <t>望谟板栗优良单株果实品质综合评价</t>
        </is>
      </c>
      <c r="E193" s="2" t="inlineStr">
        <is>
          <t>果实品质与营养</t>
        </is>
      </c>
      <c r="F193" s="2" t="inlineStr">
        <is>
          <t>繁殖育种</t>
        </is>
      </c>
      <c r="G193" s="2" t="inlineStr">
        <is>
          <t>聚类分组与杂交亲本选配</t>
        </is>
      </c>
      <c r="H193" s="2" t="inlineStr">
        <is>
          <t>基于23性状欧氏距离聚类，32株分为3组：组I（13株）大果优质，K、Ca、Mn、灰分、可溶性糖显著高于其他组而淀粉显著偏低（平均52.25%）；组II（16株）小果品质中等；组III（GM5、GM16、GM17）中等果高淀粉（平均58.56%）、可溶性糖最低（7.82%）；同一来源个体多聚为一类但存在交叉，遗传距离大的组间单株作杂交亲本更易产生丰富变异、选出优良后代</t>
        </is>
      </c>
    </row>
    <row r="194">
      <c r="A194" s="2" t="n">
        <v>193</v>
      </c>
      <c r="B194" s="2" t="n">
        <v>41</v>
      </c>
      <c r="C194" s="2" t="inlineStr">
        <is>
          <t>041_2023_Comprehensive Genome-Wide Identification and Transcript Profiling of GLK transcription factors i.md</t>
        </is>
      </c>
      <c r="D194" s="2" t="inlineStr">
        <is>
          <t>板栗GLK转录因子家族的全基因组鉴定与转录表达分析</t>
        </is>
      </c>
      <c r="E194" s="2" t="inlineStr">
        <is>
          <t>基因组与基因家族</t>
        </is>
      </c>
      <c r="F194" s="2" t="inlineStr">
        <is>
          <t>基础研究</t>
        </is>
      </c>
      <c r="G194" s="2" t="inlineStr">
        <is>
          <t>板栗GLK基因家族规模与分布</t>
        </is>
      </c>
      <c r="H194" s="2" t="inlineStr">
        <is>
          <t>全基因组鉴定出37个GLK转录因子基因（CmGLK1-CmGLK37），聚为6个亚群，分布于11条染色体（7号染色体无分布）；蛋白长度125-742个氨基酸，绝大多数定位于细胞核，所有成员均含编码DNA结合域的保守Motif 1和Motif 2。</t>
        </is>
      </c>
    </row>
    <row r="195">
      <c r="A195" s="2" t="n">
        <v>194</v>
      </c>
      <c r="B195" s="2" t="n">
        <v>41</v>
      </c>
      <c r="C195" s="2" t="inlineStr">
        <is>
          <t>041_2023_Comprehensive Genome-Wide Identification and Transcript Profiling of GLK transcription factors i.md</t>
        </is>
      </c>
      <c r="D195" s="2" t="inlineStr">
        <is>
          <t>板栗GLK转录因子家族的全基因组鉴定与转录表达分析</t>
        </is>
      </c>
      <c r="E195" s="2" t="inlineStr">
        <is>
          <t>基因组与基因家族</t>
        </is>
      </c>
      <c r="F195" s="2" t="inlineStr">
        <is>
          <t>基础研究</t>
        </is>
      </c>
      <c r="G195" s="2" t="inlineStr">
        <is>
          <t>光响应顺式作用元件特征</t>
        </is>
      </c>
      <c r="H195" s="2" t="inlineStr">
        <is>
          <t>37个CmGLK启动子区共鉴定24种光响应元件（Box 4、G-box、TCT-motif、GT1-motif等），每个基因至少含4个；CmGLK11含16个光响应元件最多；Box 4存在于几乎所有成员，在CmGLK13光响应元件中占比高达83.33%，提示Box 4对板栗光合作用调控具有重要作用。</t>
        </is>
      </c>
    </row>
    <row r="196">
      <c r="A196" s="2" t="n">
        <v>195</v>
      </c>
      <c r="B196" s="2" t="n">
        <v>41</v>
      </c>
      <c r="C196" s="2" t="inlineStr">
        <is>
          <t>041_2023_Comprehensive Genome-Wide Identification and Transcript Profiling of GLK transcription factors i.md</t>
        </is>
      </c>
      <c r="D196" s="2" t="inlineStr">
        <is>
          <t>板栗GLK转录因子家族的全基因组鉴定与转录表达分析</t>
        </is>
      </c>
      <c r="E196" s="2" t="inlineStr">
        <is>
          <t>基因组与基因家族</t>
        </is>
      </c>
      <c r="F196" s="2" t="inlineStr">
        <is>
          <t>基础研究</t>
        </is>
      </c>
      <c r="G196" s="2" t="inlineStr">
        <is>
          <t>叶绿体发育关键候选基因</t>
        </is>
      </c>
      <c r="H196" s="2" t="inlineStr">
        <is>
          <t>CmGLK33、CmGLK34、CmGLK35在光合器官（叶片，品种'青龙45'和'燕龙'）中的表达量显著高于非光合器官（坚果），其中CmGLK33叶-果表达差异最大，三者启动子光响应元件分别含25、22、20个，被确定为调控板栗叶绿体发育的关键候选基因。</t>
        </is>
      </c>
    </row>
    <row r="197">
      <c r="A197" s="2" t="n">
        <v>196</v>
      </c>
      <c r="B197" s="2" t="n">
        <v>41</v>
      </c>
      <c r="C197" s="2" t="inlineStr">
        <is>
          <t>041_2023_Comprehensive Genome-Wide Identification and Transcript Profiling of GLK transcription factors i.md</t>
        </is>
      </c>
      <c r="D197" s="2" t="inlineStr">
        <is>
          <t>板栗GLK转录因子家族的全基因组鉴定与转录表达分析</t>
        </is>
      </c>
      <c r="E197" s="2" t="inlineStr">
        <is>
          <t>基因组与基因家族</t>
        </is>
      </c>
      <c r="F197" s="2" t="inlineStr">
        <is>
          <t>基础研究</t>
        </is>
      </c>
      <c r="G197" s="2" t="inlineStr">
        <is>
          <t>GLK基因家族进化机制</t>
        </is>
      </c>
      <c r="H197" s="2" t="inlineStr">
        <is>
          <t>CmGLK家族进化中发生3对片段重复（分化于36.31-75.23百万年前）和1对串联重复（CmGLK17/18），Ka/Ks均&lt;1表明受强纯化选择；片段重复是家族进化的主要方式，重复事件显著少于其他植物GLK家族，说明板栗GLK进化上高度保守。</t>
        </is>
      </c>
    </row>
    <row r="198">
      <c r="A198" s="2" t="n">
        <v>197</v>
      </c>
      <c r="B198" s="2" t="n">
        <v>41</v>
      </c>
      <c r="C198" s="2" t="inlineStr">
        <is>
          <t>041_2023_Comprehensive Genome-Wide Identification and Transcript Profiling of GLK transcription factors i.md</t>
        </is>
      </c>
      <c r="D198" s="2" t="inlineStr">
        <is>
          <t>板栗GLK转录因子家族的全基因组鉴定与转录表达分析</t>
        </is>
      </c>
      <c r="E198" s="2" t="inlineStr">
        <is>
          <t>基因组与基因家族</t>
        </is>
      </c>
      <c r="F198" s="2" t="inlineStr">
        <is>
          <t>繁殖育种</t>
        </is>
      </c>
      <c r="G198" s="2" t="inlineStr">
        <is>
          <t>通过GLK提升板栗光合潜力的思路</t>
        </is>
      </c>
      <c r="H198" s="2" t="inlineStr">
        <is>
          <t>玉米ZmGLK1/ZmGLK2过表达可提高水稻光合速率和产量；板栗为C3光合植物、多种植于山地薄瘠土地且产量偏低，同源GLK基因（如CmGLK33/34/35）的功能解析为通过改良光合作用提升板栗生物量和产量提供候选分子靶点。</t>
        </is>
      </c>
    </row>
    <row r="199">
      <c r="A199" s="2" t="n">
        <v>198</v>
      </c>
      <c r="B199" s="2" t="n">
        <v>42</v>
      </c>
      <c r="C199" s="2" t="inlineStr">
        <is>
          <t>042_2023_Diversity of _i_Monochaetia__i_ Species from Fagaceous Leaf Spots in China and Pathogenicity for.md</t>
        </is>
      </c>
      <c r="D199" s="2" t="inlineStr">
        <is>
          <t>中国壳斗科叶斑病中单毛孢属物种多样性及其对板栗的致病性</t>
        </is>
      </c>
      <c r="E199" s="2" t="inlineStr">
        <is>
          <t>病虫害防治</t>
        </is>
      </c>
      <c r="F199" s="2" t="inlineStr">
        <is>
          <t>病虫害防治</t>
        </is>
      </c>
      <c r="G199" s="2" t="inlineStr">
        <is>
          <t>板栗叶斑病新病原确认</t>
        </is>
      </c>
      <c r="H199" s="2" t="inlineStr">
        <is>
          <t>离体叶片接种试验（1×10^6孢子/毫升，25℃、大于90%湿度、10天）表明，从板栗病叶分离的Monochaetia castaneae（CFCC 54354）能在健康板栗叶片上产生褐色病斑，并经再分离和分子鉴定满足柯赫氏法则，确认为板栗叶片病原真菌；而来自栎属、石栎属的M. hanzhongensis等5种单毛孢均不能侵染板栗。</t>
        </is>
      </c>
    </row>
    <row r="200">
      <c r="A200" s="2" t="n">
        <v>199</v>
      </c>
      <c r="B200" s="2" t="n">
        <v>42</v>
      </c>
      <c r="C200" s="2" t="inlineStr">
        <is>
          <t>042_2023_Diversity of _i_Monochaetia__i_ Species from Fagaceous Leaf Spots in China and Pathogenicity for.md</t>
        </is>
      </c>
      <c r="D200" s="2" t="inlineStr">
        <is>
          <t>中国壳斗科叶斑病中单毛孢属物种多样性及其对板栗的致病性</t>
        </is>
      </c>
      <c r="E200" s="2" t="inlineStr">
        <is>
          <t>病虫害防治</t>
        </is>
      </c>
      <c r="F200" s="2" t="inlineStr">
        <is>
          <t>病虫害防治</t>
        </is>
      </c>
      <c r="G200" s="2" t="inlineStr">
        <is>
          <t>单毛孢属新种报道</t>
        </is>
      </c>
      <c r="H200" s="2" t="inlineStr">
        <is>
          <t>2016-2021年从中国广东、河南、陕西的壳斗科病叶中鉴定出5个单毛孢属新种（M. hanzhongensis、M. lithocarpi、M. lithocarpicola、M. quercicola、M. shaanxiensis），基于ITS、LSU、tef1、tub2四基因联合系统发育（共2735 bp）结合分生孢子形态（大小、颜色、附属丝长度）建立，其中M. lithocarpicola是该属首次发现的近透明色分生孢子种。</t>
        </is>
      </c>
    </row>
    <row r="201">
      <c r="A201" s="2" t="n">
        <v>200</v>
      </c>
      <c r="B201" s="2" t="n">
        <v>42</v>
      </c>
      <c r="C201" s="2" t="inlineStr">
        <is>
          <t>042_2023_Diversity of _i_Monochaetia__i_ Species from Fagaceous Leaf Spots in China and Pathogenicity for.md</t>
        </is>
      </c>
      <c r="D201" s="2" t="inlineStr">
        <is>
          <t>中国壳斗科叶斑病中单毛孢属物种多样性及其对板栗的致病性</t>
        </is>
      </c>
      <c r="E201" s="2" t="inlineStr">
        <is>
          <t>病虫害防治</t>
        </is>
      </c>
      <c r="F201" s="2" t="inlineStr">
        <is>
          <t>病虫害防治</t>
        </is>
      </c>
      <c r="G201" s="2" t="inlineStr">
        <is>
          <t>寄主关联不能可靠区分种</t>
        </is>
      </c>
      <c r="H201" s="2" t="inlineStr">
        <is>
          <t>寄主关联对某些单毛孢物种有一定指示意义，但不能作为可靠的分类依据：已有记录显示M. concentrica和M. kansensis可同时栖居于栗属和栎属植物；多数已测序单毛孢种仅基于少量菌株发表，其实际寄主范围可能比已报道的更广。</t>
        </is>
      </c>
    </row>
    <row r="202">
      <c r="A202" s="2" t="n">
        <v>201</v>
      </c>
      <c r="B202" s="2" t="n">
        <v>42</v>
      </c>
      <c r="C202" s="2" t="inlineStr">
        <is>
          <t>042_2023_Diversity of _i_Monochaetia__i_ Species from Fagaceous Leaf Spots in China and Pathogenicity for.md</t>
        </is>
      </c>
      <c r="D202" s="2" t="inlineStr">
        <is>
          <t>中国壳斗科叶斑病中单毛孢属物种多样性及其对板栗的致病性</t>
        </is>
      </c>
      <c r="E202" s="2" t="inlineStr">
        <is>
          <t>病虫害防治</t>
        </is>
      </c>
      <c r="F202" s="2" t="inlineStr">
        <is>
          <t>病虫害防治</t>
        </is>
      </c>
      <c r="G202" s="2" t="inlineStr">
        <is>
          <t>病叶病原分离方法</t>
        </is>
      </c>
      <c r="H202" s="2" t="inlineStr">
        <is>
          <t>病叶经75%乙醇1分钟、1.25%次氯酸钠3分钟、75%乙醇1分钟表面消毒，蒸馏水冲洗2分钟后，将病斑处切成0.5×0.5厘米小块，置于PDA和MEA培养基25℃培养获得纯培养；该方法适用于板栗等壳斗科叶部真菌病原的常规分离。</t>
        </is>
      </c>
    </row>
    <row r="203">
      <c r="A203" s="2" t="n">
        <v>202</v>
      </c>
      <c r="B203" s="2" t="n">
        <v>42</v>
      </c>
      <c r="C203" s="2" t="inlineStr">
        <is>
          <t>042_2023_Diversity of _i_Monochaetia__i_ Species from Fagaceous Leaf Spots in China and Pathogenicity for.md</t>
        </is>
      </c>
      <c r="D203" s="2" t="inlineStr">
        <is>
          <t>中国壳斗科叶斑病中单毛孢属物种多样性及其对板栗的致病性</t>
        </is>
      </c>
      <c r="E203" s="2" t="inlineStr">
        <is>
          <t>病虫害防治</t>
        </is>
      </c>
      <c r="F203" s="2" t="inlineStr">
        <is>
          <t>病虫害防治</t>
        </is>
      </c>
      <c r="G203" s="2" t="inlineStr">
        <is>
          <t>壳斗科叶斑病原多样性被低估</t>
        </is>
      </c>
      <c r="H203" s="2" t="inlineStr">
        <is>
          <t>中国壳斗科植物有320余种，本研究仅调查5种寄主（石栎、栓皮栎、槲栎、麻栎、巴东栎）就发现5个单毛孢新种，提示包括板栗在内的壳斗科叶斑病病原多样性仍被严重低估，生产上遇到叶斑病害时建议结合形态与分子（ITS等多基因）鉴定病原种类。</t>
        </is>
      </c>
    </row>
    <row r="204">
      <c r="A204" s="2" t="n">
        <v>203</v>
      </c>
      <c r="B204" s="2" t="n">
        <v>43</v>
      </c>
      <c r="C204" s="2" t="inlineStr">
        <is>
          <t>043_2023_Effect of Chestnut (Castanea Mollissima Blume) Bur Polyphenol Extract on Shigella dysenteriae_ A.md</t>
        </is>
      </c>
      <c r="D204" s="2" t="inlineStr">
        <is>
          <t>板栗栗蓬多酚提取物对痢疾志贺氏菌的抑菌活性及其机制</t>
        </is>
      </c>
      <c r="E204" s="2" t="inlineStr">
        <is>
          <t>生物活性与功效</t>
        </is>
      </c>
      <c r="F204" s="2" t="inlineStr">
        <is>
          <t>加工利用</t>
        </is>
      </c>
      <c r="G204" s="2" t="inlineStr">
        <is>
          <t>栗蓬多酚提取物的主要成分</t>
        </is>
      </c>
      <c r="H204" s="2" t="inlineStr">
        <is>
          <t>HPLC-ESI-MS/MS分析显示板栗栗蓬多酚提取物（CBPE）含6种主要多酚：鞣花单宁155.1毫克/克（绝对主成分）、山奈酚2.2毫克/克、原花青素二聚体1.3毫克/克、杨梅素0.5毫克/克、槲皮素0.3毫克/克、芦丁0.1毫克/克；栗蓬约占板栗总重的20%。</t>
        </is>
      </c>
    </row>
    <row r="205">
      <c r="A205" s="2" t="n">
        <v>204</v>
      </c>
      <c r="B205" s="2" t="n">
        <v>43</v>
      </c>
      <c r="C205" s="2" t="inlineStr">
        <is>
          <t>043_2023_Effect of Chestnut (Castanea Mollissima Blume) Bur Polyphenol Extract on Shigella dysenteriae_ A.md</t>
        </is>
      </c>
      <c r="D205" s="2" t="inlineStr">
        <is>
          <t>板栗栗蓬多酚提取物对痢疾志贺氏菌的抑菌活性及其机制</t>
        </is>
      </c>
      <c r="E205" s="2" t="inlineStr">
        <is>
          <t>生物活性与功效</t>
        </is>
      </c>
      <c r="F205" s="2" t="inlineStr">
        <is>
          <t>营养功效</t>
        </is>
      </c>
      <c r="G205" s="2" t="inlineStr">
        <is>
          <t>栗蓬多酚抑菌效力</t>
        </is>
      </c>
      <c r="H205" s="2" t="inlineStr">
        <is>
          <t>CBPE对痢疾志贺氏菌的MIC为0.4毫克/毫升、MBC为1.6毫克/毫升、MIC50为0.14毫克/毫升，抑菌效力优于文献报道的阿魏酸对福氏志贺菌（MIC 2毫克/毫升）；1/2MIC、MIC、2MIC处理使活菌比例从92.72%分别降至48.13%、40.13%、39.66%，呈浓度依赖性。</t>
        </is>
      </c>
    </row>
    <row r="206">
      <c r="A206" s="2" t="n">
        <v>205</v>
      </c>
      <c r="B206" s="2" t="n">
        <v>43</v>
      </c>
      <c r="C206" s="2" t="inlineStr">
        <is>
          <t>043_2023_Effect of Chestnut (Castanea Mollissima Blume) Bur Polyphenol Extract on Shigella dysenteriae_ A.md</t>
        </is>
      </c>
      <c r="D206" s="2" t="inlineStr">
        <is>
          <t>板栗栗蓬多酚提取物对痢疾志贺氏菌的抑菌活性及其机制</t>
        </is>
      </c>
      <c r="E206" s="2" t="inlineStr">
        <is>
          <t>生物活性与功效</t>
        </is>
      </c>
      <c r="F206" s="2" t="inlineStr">
        <is>
          <t>营养功效</t>
        </is>
      </c>
      <c r="G206" s="2" t="inlineStr">
        <is>
          <t>破坏细胞壁和细胞膜的作用机制</t>
        </is>
      </c>
      <c r="H206" s="2" t="inlineStr">
        <is>
          <t>CBPE处理使志贺氏菌外膜和内膜通透性显著增加、膜电位去极化（荧光强度由49.73%升至72.94%）；细胞壁完整性被破坏，胞外碱性磷酸酶（AKP）3小时内显著升高、5小时达22 U/L/gprot；并引起蛋白质（2MIC时0.309毫克/毫升）、K+（2MIC时29.25克/升）和大分子（最高为对照2.67倍）大量泄漏。</t>
        </is>
      </c>
    </row>
    <row r="207">
      <c r="A207" s="2" t="n">
        <v>206</v>
      </c>
      <c r="B207" s="2" t="n">
        <v>43</v>
      </c>
      <c r="C207" s="2" t="inlineStr">
        <is>
          <t>043_2023_Effect of Chestnut (Castanea Mollissima Blume) Bur Polyphenol Extract on Shigella dysenteriae_ A.md</t>
        </is>
      </c>
      <c r="D207" s="2" t="inlineStr">
        <is>
          <t>板栗栗蓬多酚提取物对痢疾志贺氏菌的抑菌活性及其机制</t>
        </is>
      </c>
      <c r="E207" s="2" t="inlineStr">
        <is>
          <t>生物活性与功效</t>
        </is>
      </c>
      <c r="F207" s="2" t="inlineStr">
        <is>
          <t>加工利用</t>
        </is>
      </c>
      <c r="G207" s="2" t="inlineStr">
        <is>
          <t>能量代谢与多通路抑制</t>
        </is>
      </c>
      <c r="H207" s="2" t="inlineStr">
        <is>
          <t>CBPE浓度依赖性降低胞内ATP含量（1/2MIC、MIC、2MIC分别下降49.50%、63.37%、88.12%）并显著抑制Ca2+Mg2+-ATPase和Na+K+-ATPase活性（p&lt;0.01）；转录组与代谢组联合分析表明其通过ABC蛋白转运、硫代谢、嘌呤代谢、精氨酸代谢、酪氨酸代谢、甘油磷脂代谢等49条共同通路抑菌。</t>
        </is>
      </c>
    </row>
    <row r="208">
      <c r="A208" s="2" t="n">
        <v>207</v>
      </c>
      <c r="B208" s="2" t="n">
        <v>43</v>
      </c>
      <c r="C208" s="2" t="inlineStr">
        <is>
          <t>043_2023_Effect of Chestnut (Castanea Mollissima Blume) Bur Polyphenol Extract on Shigella dysenteriae_ A.md</t>
        </is>
      </c>
      <c r="D208" s="2" t="inlineStr">
        <is>
          <t>板栗栗蓬多酚提取物对痢疾志贺氏菌的抑菌活性及其机制</t>
        </is>
      </c>
      <c r="E208" s="2" t="inlineStr">
        <is>
          <t>生物活性与功效</t>
        </is>
      </c>
      <c r="F208" s="2" t="inlineStr">
        <is>
          <t>加工利用</t>
        </is>
      </c>
      <c r="G208" s="2" t="inlineStr">
        <is>
          <t>栗蓬多酚提取工艺</t>
        </is>
      </c>
      <c r="H208" s="2" t="inlineStr">
        <is>
          <t>河北青龙栗蓬干燥粉碎过40目筛，石油醚脱脂后以45%乙醇、料液比20:1、50℃提取2小时，离心（7500转/分、10分钟）取上清，减压浓缩后经乙酸乙酯萃取、冷冻干燥获得多酚提取物，可作为栗蓬功能成分开发的工艺参考。</t>
        </is>
      </c>
    </row>
    <row r="209">
      <c r="A209" s="2" t="n">
        <v>208</v>
      </c>
      <c r="B209" s="2" t="n">
        <v>43</v>
      </c>
      <c r="C209" s="2" t="inlineStr">
        <is>
          <t>043_2023_Effect of Chestnut (Castanea Mollissima Blume) Bur Polyphenol Extract on Shigella dysenteriae_ A.md</t>
        </is>
      </c>
      <c r="D209" s="2" t="inlineStr">
        <is>
          <t>板栗栗蓬多酚提取物对痢疾志贺氏菌的抑菌活性及其机制</t>
        </is>
      </c>
      <c r="E209" s="2" t="inlineStr">
        <is>
          <t>生物活性与功效</t>
        </is>
      </c>
      <c r="F209" s="2" t="inlineStr">
        <is>
          <t>产业市场</t>
        </is>
      </c>
      <c r="G209" s="2" t="inlineStr">
        <is>
          <t>板栗副产物资源量与利用价值</t>
        </is>
      </c>
      <c r="H209" s="2" t="inlineStr">
        <is>
          <t>截至2020年中国板栗栽培面积达180万公顷、年产量超190万吨、占世界总产量80%以上；采收加工产生的栗蓬、壳、花、叶等副产物合计约占板栗总重的60%，其中栗蓬约占20%，多被焚烧处理，富含多酚等功能成分，是亟待高值化利用的生物质资源。</t>
        </is>
      </c>
    </row>
    <row r="210">
      <c r="A210" s="2" t="n">
        <v>209</v>
      </c>
      <c r="B210" s="2" t="n">
        <v>44</v>
      </c>
      <c r="C210" s="2" t="inlineStr">
        <is>
          <t>044_2023_Effects of Tremella fuciformis Mushroom Polysaccharides on Structure, Pasting, and Thermal Prope.md</t>
        </is>
      </c>
      <c r="D210" s="2" t="inlineStr">
        <is>
          <t>银耳多糖对不同冻融循环次数下锥栗淀粉颗粒结构、糊化及热特性的影响</t>
        </is>
      </c>
      <c r="E210" s="2" t="inlineStr">
        <is>
          <t>加工与贮藏</t>
        </is>
      </c>
      <c r="F210" s="2" t="inlineStr">
        <is>
          <t>采收贮藏</t>
        </is>
      </c>
      <c r="G210" s="2" t="inlineStr">
        <is>
          <t>冻融循环对锥栗淀粉的破坏作用</t>
        </is>
      </c>
      <c r="H210" s="2" t="inlineStr">
        <is>
          <t>-20℃冻融循环使锥栗淀粉平均粒径快速下降，10次循环后部分颗粒碎裂至纳米级、粒径分布变双峰；相对结晶度随循环次数升高（支链淀粉重排、回生加剧）；峰值黏度和表观黏度下降，淀粉糊呈假塑性剪切变稀流体（流变指数n=0.39-0.42），凝胶硬度由169.25 g（0次）降至139.22 g（10次）。</t>
        </is>
      </c>
    </row>
    <row r="211">
      <c r="A211" s="2" t="n">
        <v>210</v>
      </c>
      <c r="B211" s="2" t="n">
        <v>44</v>
      </c>
      <c r="C211" s="2" t="inlineStr">
        <is>
          <t>044_2023_Effects of Tremella fuciformis Mushroom Polysaccharides on Structure, Pasting, and Thermal Prope.md</t>
        </is>
      </c>
      <c r="D211" s="2" t="inlineStr">
        <is>
          <t>银耳多糖对不同冻融循环次数下锥栗淀粉颗粒结构、糊化及热特性的影响</t>
        </is>
      </c>
      <c r="E211" s="2" t="inlineStr">
        <is>
          <t>加工与贮藏</t>
        </is>
      </c>
      <c r="F211" s="2" t="inlineStr">
        <is>
          <t>加工利用</t>
        </is>
      </c>
      <c r="G211" s="2" t="inlineStr">
        <is>
          <t>银耳多糖抑制淀粉回生</t>
        </is>
      </c>
      <c r="H211" s="2" t="inlineStr">
        <is>
          <t>锥栗淀粉与银耳多糖按7:3复配后，相对结晶度和糊化温度显著降低（糊化温度由82.81℃降至76.40℃）；10次冻融循环时回生值（SB）由未添加的874.14 cP降至539.09 cP，表明银耳多糖通过干扰淀粉重结晶有效抑制冻融淀粉的长期回生。</t>
        </is>
      </c>
    </row>
    <row r="212">
      <c r="A212" s="2" t="n">
        <v>211</v>
      </c>
      <c r="B212" s="2" t="n">
        <v>44</v>
      </c>
      <c r="C212" s="2" t="inlineStr">
        <is>
          <t>044_2023_Effects of Tremella fuciformis Mushroom Polysaccharides on Structure, Pasting, and Thermal Prope.md</t>
        </is>
      </c>
      <c r="D212" s="2" t="inlineStr">
        <is>
          <t>银耳多糖对不同冻融循环次数下锥栗淀粉颗粒结构、糊化及热特性的影响</t>
        </is>
      </c>
      <c r="E212" s="2" t="inlineStr">
        <is>
          <t>加工与贮藏</t>
        </is>
      </c>
      <c r="F212" s="2" t="inlineStr">
        <is>
          <t>采收贮藏</t>
        </is>
      </c>
      <c r="G212" s="2" t="inlineStr">
        <is>
          <t>提高持水性与冻融稳定性</t>
        </is>
      </c>
      <c r="H212" s="2" t="inlineStr">
        <is>
          <t>70小时析水率：原淀粉65%、3次冻融60%、10次冻融58%；添加银耳多糖后分别变为63%和52.27%，10次循环时失重率比原淀粉低约5%，第二阶段热裂解温度由245.3℃升至301.27℃，说明银耳多糖与冻融释放的结合水结合，显著增强淀粉持水性、抑制冻融脱水收缩。</t>
        </is>
      </c>
    </row>
    <row r="213">
      <c r="A213" s="2" t="n">
        <v>212</v>
      </c>
      <c r="B213" s="2" t="n">
        <v>44</v>
      </c>
      <c r="C213" s="2" t="inlineStr">
        <is>
          <t>044_2023_Effects of Tremella fuciformis Mushroom Polysaccharides on Structure, Pasting, and Thermal Prope.md</t>
        </is>
      </c>
      <c r="D213" s="2" t="inlineStr">
        <is>
          <t>银耳多糖对不同冻融循环次数下锥栗淀粉颗粒结构、糊化及热特性的影响</t>
        </is>
      </c>
      <c r="E213" s="2" t="inlineStr">
        <is>
          <t>加工与贮藏</t>
        </is>
      </c>
      <c r="F213" s="2" t="inlineStr">
        <is>
          <t>加工利用</t>
        </is>
      </c>
      <c r="G213" s="2" t="inlineStr">
        <is>
          <t>改善冻融淀粉凝胶品质</t>
        </is>
      </c>
      <c r="H213" s="2" t="inlineStr">
        <is>
          <t>银耳多糖提高锥栗淀粉凝胶质构特性：10次冻融循环下凝胶硬度由139.22 g升至154.50 g，弹性由1.23升至1.39，内聚性由0.85升至0.99，回复性由0.61升至0.70（p&lt;0.05），可改善速冻板栗淀粉类食品冻藏后的口感与结构。</t>
        </is>
      </c>
    </row>
    <row r="214">
      <c r="A214" s="2" t="n">
        <v>213</v>
      </c>
      <c r="B214" s="2" t="n">
        <v>44</v>
      </c>
      <c r="C214" s="2" t="inlineStr">
        <is>
          <t>044_2023_Effects of Tremella fuciformis Mushroom Polysaccharides on Structure, Pasting, and Thermal Prope.md</t>
        </is>
      </c>
      <c r="D214" s="2" t="inlineStr">
        <is>
          <t>银耳多糖对不同冻融循环次数下锥栗淀粉颗粒结构、糊化及热特性的影响</t>
        </is>
      </c>
      <c r="E214" s="2" t="inlineStr">
        <is>
          <t>加工与贮藏</t>
        </is>
      </c>
      <c r="F214" s="2" t="inlineStr">
        <is>
          <t>营养功效</t>
        </is>
      </c>
      <c r="G214" s="2" t="inlineStr">
        <is>
          <t>锥栗淀粉的营养与消化特性背景</t>
        </is>
      </c>
      <c r="H214" s="2" t="inlineStr">
        <is>
          <t>锥栗（Castanea henryi）淀粉占干重40%-60%，中国锥栗产量约占世界83%；其淀粉熟化后易消化淀粉多、抗性淀粉低，食用后血糖反应较高；与玉米淀粉相比更易回生，加工中需注意回生控制（如添加瓜尔胶、银耳多糖等亲水胶体）。</t>
        </is>
      </c>
    </row>
    <row r="215">
      <c r="A215" s="2" t="n">
        <v>214</v>
      </c>
      <c r="B215" s="2" t="n">
        <v>44</v>
      </c>
      <c r="C215" s="2" t="inlineStr">
        <is>
          <t>044_2023_Effects of Tremella fuciformis Mushroom Polysaccharides on Structure, Pasting, and Thermal Prope.md</t>
        </is>
      </c>
      <c r="D215" s="2" t="inlineStr">
        <is>
          <t>银耳多糖对不同冻融循环次数下锥栗淀粉颗粒结构、糊化及热特性的影响</t>
        </is>
      </c>
      <c r="E215" s="2" t="inlineStr">
        <is>
          <t>加工与贮藏</t>
        </is>
      </c>
      <c r="F215" s="2" t="inlineStr">
        <is>
          <t>基础研究</t>
        </is>
      </c>
      <c r="G215" s="2" t="inlineStr">
        <is>
          <t>冻融处理对水分状态的影响</t>
        </is>
      </c>
      <c r="H215" s="2" t="inlineStr">
        <is>
          <t>低场核磁共振显示5组淀粉紧密结合水（T21）比例均超过97%，3次冻融使T21由0.25 ms升至0.50 ms（结合水与淀粉链重新缔合、结晶区破坏）；添加银耳多糖后T21降低，多糖与淀粉分子链重组形成更致密的凝胶网格，增强对水分子的束缚力。</t>
        </is>
      </c>
    </row>
    <row r="216">
      <c r="A216" s="2" t="n">
        <v>215</v>
      </c>
      <c r="B216" s="2" t="n">
        <v>45</v>
      </c>
      <c r="C216" s="2" t="inlineStr">
        <is>
          <t>045_2023_Genome-wide identification and characterization of the bZIP gene family and their function in st.md</t>
        </is>
      </c>
      <c r="D216" s="2" t="inlineStr">
        <is>
          <t>板栗bZIP基因家族的全基因组鉴定与特征分析及其在淀粉积累中的功能</t>
        </is>
      </c>
      <c r="E216" s="2" t="inlineStr">
        <is>
          <t>基因组与基因家族</t>
        </is>
      </c>
      <c r="F216" s="2" t="inlineStr">
        <is>
          <t>基础研究</t>
        </is>
      </c>
      <c r="G216" s="2" t="inlineStr">
        <is>
          <t>板栗bZIP基因家族组成</t>
        </is>
      </c>
      <c r="H216" s="2" t="inlineStr">
        <is>
          <t>首次在板栗全基因组（N11-1参考基因组，689.98 Mb）中鉴定59个bZIP转录因子基因（CmbZIP01-CmbZIP59），聚为13个分支（A-L和Un），57个成员定位于细胞核；蛋白长度140（CmbZIP52）至1075个氨基酸（CmbZIP28），含保守的碱性区（N-x7-R/K）和亮氨酸拉链区（L-x6-L-x6-L）结构。</t>
        </is>
      </c>
    </row>
    <row r="217">
      <c r="A217" s="2" t="n">
        <v>216</v>
      </c>
      <c r="B217" s="2" t="n">
        <v>45</v>
      </c>
      <c r="C217" s="2" t="inlineStr">
        <is>
          <t>045_2023_Genome-wide identification and characterization of the bZIP gene family and their function in st.md</t>
        </is>
      </c>
      <c r="D217" s="2" t="inlineStr">
        <is>
          <t>板栗bZIP基因家族的全基因组鉴定与特征分析及其在淀粉积累中的功能</t>
        </is>
      </c>
      <c r="E217" s="2" t="inlineStr">
        <is>
          <t>基因组与基因家族</t>
        </is>
      </c>
      <c r="F217" s="2" t="inlineStr">
        <is>
          <t>繁殖育种</t>
        </is>
      </c>
      <c r="G217" s="2" t="inlineStr">
        <is>
          <t>淀粉积累调控的关键转录因子</t>
        </is>
      </c>
      <c r="H217" s="2" t="inlineStr">
        <is>
          <t>酵母单杂交试验证实CmbZIP13直接结合淀粉脱支酶基因CmISA2的启动子，CmbZIP35直接结合淀粉分支酶基因CmSBE1_2的启动子（在含100纳克/毫升AbA的SD-UL筛选培养基上生长），二者可能通过调控淀粉修饰酶基因参与板栗种子淀粉积累，是糯性品质育种的候选基因。</t>
        </is>
      </c>
    </row>
    <row r="218">
      <c r="A218" s="2" t="n">
        <v>217</v>
      </c>
      <c r="B218" s="2" t="n">
        <v>45</v>
      </c>
      <c r="C218" s="2" t="inlineStr">
        <is>
          <t>045_2023_Genome-wide identification and characterization of the bZIP gene family and their function in st.md</t>
        </is>
      </c>
      <c r="D218" s="2" t="inlineStr">
        <is>
          <t>板栗bZIP基因家族的全基因组鉴定与特征分析及其在淀粉积累中的功能</t>
        </is>
      </c>
      <c r="E218" s="2" t="inlineStr">
        <is>
          <t>基因组与基因家族</t>
        </is>
      </c>
      <c r="F218" s="2" t="inlineStr">
        <is>
          <t>基础研究</t>
        </is>
      </c>
      <c r="G218" s="2" t="inlineStr">
        <is>
          <t>与淀粉积累相关的共表达模块</t>
        </is>
      </c>
      <c r="H218" s="2" t="inlineStr">
        <is>
          <t>WGCNA识别8个共表达模块，其中MEred、MEgreen、MEbrown三个模块与淀粉积累显著相关：MEbrown与总淀粉（r=0.73）、支链淀粉（r=0.76）及淀粉合酶活性（r=0.86）正相关，MEred则负相关（r=-0.79至-0.82）；7个CmbZIP（04、13、14、33、35、38、56）与淀粉指标显著相关（|r|≥0.67，p&lt;0.05），在授粉后70-94天种子中高表达。</t>
        </is>
      </c>
    </row>
    <row r="219">
      <c r="A219" s="2" t="n">
        <v>218</v>
      </c>
      <c r="B219" s="2" t="n">
        <v>45</v>
      </c>
      <c r="C219" s="2" t="inlineStr">
        <is>
          <t>045_2023_Genome-wide identification and characterization of the bZIP gene family and their function in st.md</t>
        </is>
      </c>
      <c r="D219" s="2" t="inlineStr">
        <is>
          <t>板栗bZIP基因家族的全基因组鉴定与特征分析及其在淀粉积累中的功能</t>
        </is>
      </c>
      <c r="E219" s="2" t="inlineStr">
        <is>
          <t>基因组与基因家族</t>
        </is>
      </c>
      <c r="F219" s="2" t="inlineStr">
        <is>
          <t>基础研究</t>
        </is>
      </c>
      <c r="G219" s="2" t="inlineStr">
        <is>
          <t>bZIP家族扩张与选择压力</t>
        </is>
      </c>
      <c r="H219" s="2" t="inlineStr">
        <is>
          <t>CmbZIP家族存在10对片段重复基因对、无串联重复，片段重复是家族扩张的主要动力；7对重复基因（分化于板栗与夏栎物种分化18.3百万年前之前）经历纯化选择（Ka/Ks=0.06-0.56），而CmbZIP09/45和CmbZIP19/25（Ka/Ks=1.63/1.64）可能在板栗基因组形成后经历正选择，可能促进了板栗的演化。</t>
        </is>
      </c>
    </row>
    <row r="220">
      <c r="A220" s="2" t="n">
        <v>219</v>
      </c>
      <c r="B220" s="2" t="n">
        <v>45</v>
      </c>
      <c r="C220" s="2" t="inlineStr">
        <is>
          <t>045_2023_Genome-wide identification and characterization of the bZIP gene family and their function in st.md</t>
        </is>
      </c>
      <c r="D220" s="2" t="inlineStr">
        <is>
          <t>板栗bZIP基因家族的全基因组鉴定与特征分析及其在淀粉积累中的功能</t>
        </is>
      </c>
      <c r="E220" s="2" t="inlineStr">
        <is>
          <t>基因组与基因家族</t>
        </is>
      </c>
      <c r="F220" s="2" t="inlineStr">
        <is>
          <t>繁殖育种</t>
        </is>
      </c>
      <c r="G220" s="2" t="inlineStr">
        <is>
          <t>板栗糯性品质的分子基础</t>
        </is>
      </c>
      <c r="H220" s="2" t="inlineStr">
        <is>
          <t>糯性是板栗品质的关键指标，由种仁淀粉含量决定；板栗淀粉合成相关基因（CmSBE1_2、CmISA2、CmBA1_1、CmSSS3等）启动子区普遍含bZIP识别的ACGT顺式元件（G-box最常见，如CmBA1_1含3个G-box），表明bZIP转录因子通过ACGT元件网络调控淀粉代谢，可借分子标记辅助选择改良板栗糯性。</t>
        </is>
      </c>
    </row>
    <row r="221">
      <c r="A221" s="2" t="n">
        <v>220</v>
      </c>
      <c r="B221" s="2" t="n">
        <v>46</v>
      </c>
      <c r="C221" s="2" t="inlineStr">
        <is>
          <t>046_2023_Genome-wide identification, evolution and expression profiles analysis of bHLH gene family in Ca.md</t>
        </is>
      </c>
      <c r="D221" s="2" t="inlineStr">
        <is>
          <t>板栗bHLH基因家族的全基因组鉴定、进化与表达谱分析</t>
        </is>
      </c>
      <c r="E221" s="2" t="inlineStr">
        <is>
          <t>基因组与基因家族</t>
        </is>
      </c>
      <c r="F221" s="2" t="inlineStr">
        <is>
          <t>基础研究</t>
        </is>
      </c>
      <c r="G221" s="2" t="inlineStr">
        <is>
          <t>板栗bHLH基因家族规模与分类</t>
        </is>
      </c>
      <c r="H221" s="2" t="inlineStr">
        <is>
          <t>首次在板栗基因组中鉴定出94个bHLH转录因子基因（CmbHLH1-94），分为19个亚组，其中88个不均匀分布在12条染色体上，8号染色体最多（13个）；蛋白长159-711 aa、分子量18.0-79.2 kDa，85/94个预测定位于细胞核。</t>
        </is>
      </c>
    </row>
    <row r="222">
      <c r="A222" s="2" t="n">
        <v>221</v>
      </c>
      <c r="B222" s="2" t="n">
        <v>46</v>
      </c>
      <c r="C222" s="2" t="inlineStr">
        <is>
          <t>046_2023_Genome-wide identification, evolution and expression profiles analysis of bHLH gene family in Ca.md</t>
        </is>
      </c>
      <c r="D222" s="2" t="inlineStr">
        <is>
          <t>板栗bHLH基因家族的全基因组鉴定、进化与表达谱分析</t>
        </is>
      </c>
      <c r="E222" s="2" t="inlineStr">
        <is>
          <t>基因组与基因家族</t>
        </is>
      </c>
      <c r="F222" s="2" t="inlineStr">
        <is>
          <t>栽培管理</t>
        </is>
      </c>
      <c r="G222" s="2" t="inlineStr">
        <is>
          <t>板栗雌雄花比例与限产</t>
        </is>
      </c>
      <c r="H222" s="2" t="inlineStr">
        <is>
          <t>板栗为雌雄同株植物，雌雄花比例可达1:2400-4000，雌花数量少加上大量雄花过度消耗树体营养，是限制板栗产量的重要原因；挖掘调控胚珠育性的基因对提高产量有重要意义。</t>
        </is>
      </c>
    </row>
    <row r="223">
      <c r="A223" s="2" t="n">
        <v>222</v>
      </c>
      <c r="B223" s="2" t="n">
        <v>46</v>
      </c>
      <c r="C223" s="2" t="inlineStr">
        <is>
          <t>046_2023_Genome-wide identification, evolution and expression profiles analysis of bHLH gene family in Ca.md</t>
        </is>
      </c>
      <c r="D223" s="2" t="inlineStr">
        <is>
          <t>板栗bHLH基因家族的全基因组鉴定、进化与表达谱分析</t>
        </is>
      </c>
      <c r="E223" s="2" t="inlineStr">
        <is>
          <t>基因组与基因家族</t>
        </is>
      </c>
      <c r="F223" s="2" t="inlineStr">
        <is>
          <t>繁殖育种</t>
        </is>
      </c>
      <c r="G223" s="2" t="inlineStr">
        <is>
          <t>bHLH基因与胚珠育性</t>
        </is>
      </c>
      <c r="H223" s="2" t="inlineStr">
        <is>
          <t>CmbHLH55在可育胚珠中表达（各期TPM&gt;200）显著高于败育胚珠，CmbHLH69则相反（可育胚珠TPM&lt;50），且其启动子含大量赤霉素响应元件和胚乳表达元件，提示二者参与板栗胚珠育性调控，可作为候选功能基因。</t>
        </is>
      </c>
    </row>
    <row r="224">
      <c r="A224" s="2" t="n">
        <v>223</v>
      </c>
      <c r="B224" s="2" t="n">
        <v>46</v>
      </c>
      <c r="C224" s="2" t="inlineStr">
        <is>
          <t>046_2023_Genome-wide identification, evolution and expression profiles analysis of bHLH gene family in Ca.md</t>
        </is>
      </c>
      <c r="D224" s="2" t="inlineStr">
        <is>
          <t>板栗bHLH基因家族的全基因组鉴定、进化与表达谱分析</t>
        </is>
      </c>
      <c r="E224" s="2" t="inlineStr">
        <is>
          <t>基因组与基因家族</t>
        </is>
      </c>
      <c r="F224" s="2" t="inlineStr">
        <is>
          <t>基础研究</t>
        </is>
      </c>
      <c r="G224" s="2" t="inlineStr">
        <is>
          <t>bHLH基因与坚果发育成熟</t>
        </is>
      </c>
      <c r="H224" s="2" t="inlineStr">
        <is>
          <t>CmbHLH25在坚果花后70天高表达（TPM 274.67），至94天骤降至1.29；CmbHLH9在坚果成熟后期（94天）表达显著上升且启动子含玉米醇溶蛋白代谢和黄酮生物合成调控元件，提示相关bHLH基因可能与坚果成熟及品质形成有关。</t>
        </is>
      </c>
    </row>
    <row r="225">
      <c r="A225" s="2" t="n">
        <v>224</v>
      </c>
      <c r="B225" s="2" t="n">
        <v>46</v>
      </c>
      <c r="C225" s="2" t="inlineStr">
        <is>
          <t>046_2023_Genome-wide identification, evolution and expression profiles analysis of bHLH gene family in Ca.md</t>
        </is>
      </c>
      <c r="D225" s="2" t="inlineStr">
        <is>
          <t>板栗bHLH基因家族的全基因组鉴定、进化与表达谱分析</t>
        </is>
      </c>
      <c r="E225" s="2" t="inlineStr">
        <is>
          <t>基因组与基因家族</t>
        </is>
      </c>
      <c r="F225" s="2" t="inlineStr">
        <is>
          <t>营养功效</t>
        </is>
      </c>
      <c r="G225" s="2" t="inlineStr">
        <is>
          <t>板栗坚果营养与药用价值</t>
        </is>
      </c>
      <c r="H225" s="2" t="inlineStr">
        <is>
          <t>板栗坚果除优质淀粉外还富含多种糖类、维生素、矿物质及生物活性物质；适宜的直链淀粉/支链淀粉比例被认为对糖尿病和过敏有预防作用，部分萜类化合物可抑制HeLa肿瘤细胞增殖，并富含抗坏血酸、酚类和黄酮等抗氧化物质，有益于抗菌抗癌。</t>
        </is>
      </c>
    </row>
    <row r="226">
      <c r="A226" s="2" t="n">
        <v>225</v>
      </c>
      <c r="B226" s="2" t="n">
        <v>47</v>
      </c>
      <c r="C226" s="2" t="inlineStr">
        <is>
          <t>047_2023_Genome-wide identification, evolution and transcriptome analysis of GRAS gene family in Chinese .md</t>
        </is>
      </c>
      <c r="D226" s="2" t="inlineStr">
        <is>
          <t>中国板栗GRAS基因家族的全基因组鉴定、进化与转录组分析</t>
        </is>
      </c>
      <c r="E226" s="2" t="inlineStr">
        <is>
          <t>基因组与基因家族</t>
        </is>
      </c>
      <c r="F226" s="2" t="inlineStr">
        <is>
          <t>基础研究</t>
        </is>
      </c>
      <c r="G226" s="2" t="inlineStr">
        <is>
          <t>板栗GRAS基因家族规模与分类</t>
        </is>
      </c>
      <c r="H226" s="2" t="inlineStr">
        <is>
          <t>首次在板栗全基因组中鉴定出48个GRAS转录因子基因，分为DELLA、PAT1、SCL3、SHR、SCR、LISCL、HAM、LAS、DLT九个亚家族；蛋白长365-805 aa、分子量41.3-87.9 kDa，30个成员预测定位于细胞核。</t>
        </is>
      </c>
    </row>
    <row r="227">
      <c r="A227" s="2" t="n">
        <v>226</v>
      </c>
      <c r="B227" s="2" t="n">
        <v>47</v>
      </c>
      <c r="C227" s="2" t="inlineStr">
        <is>
          <t>047_2023_Genome-wide identification, evolution and transcriptome analysis of GRAS gene family in Chinese .md</t>
        </is>
      </c>
      <c r="D227" s="2" t="inlineStr">
        <is>
          <t>中国板栗GRAS基因家族的全基因组鉴定、进化与转录组分析</t>
        </is>
      </c>
      <c r="E227" s="2" t="inlineStr">
        <is>
          <t>基因组与基因家族</t>
        </is>
      </c>
      <c r="F227" s="2" t="inlineStr">
        <is>
          <t>基础研究</t>
        </is>
      </c>
      <c r="G227" s="2" t="inlineStr">
        <is>
          <t>GRAS家族扩张机制</t>
        </is>
      </c>
      <c r="H227" s="2" t="inlineStr">
        <is>
          <t>串联重复是板栗GRAS基因家族扩张的主要驱动力，12个串联重复基因分布于3号和6号染色体（6号染色体一簇含9个基因）；全部同源基因对Ka/Ks&lt;1，受强纯化选择；CmGRAS基因内含子多为0相位，高度保守。</t>
        </is>
      </c>
    </row>
    <row r="228">
      <c r="A228" s="2" t="n">
        <v>227</v>
      </c>
      <c r="B228" s="2" t="n">
        <v>47</v>
      </c>
      <c r="C228" s="2" t="inlineStr">
        <is>
          <t>047_2023_Genome-wide identification, evolution and transcriptome analysis of GRAS gene family in Chinese .md</t>
        </is>
      </c>
      <c r="D228" s="2" t="inlineStr">
        <is>
          <t>中国板栗GRAS基因家族的全基因组鉴定、进化与转录组分析</t>
        </is>
      </c>
      <c r="E228" s="2" t="inlineStr">
        <is>
          <t>基因组与基因家族</t>
        </is>
      </c>
      <c r="F228" s="2" t="inlineStr">
        <is>
          <t>繁殖育种</t>
        </is>
      </c>
      <c r="G228" s="2" t="inlineStr">
        <is>
          <t>GRAS基因与胚珠育性和芽发育</t>
        </is>
      </c>
      <c r="H228" s="2" t="inlineStr">
        <is>
          <t>CmGRAS38、CmGRAS48在可育胚珠各发育期持续高表达，而在败育胚珠中几乎检测不到转录本；CmGRAS41（LAS亚家族）在芽发育全程高表达且在可育胚珠中表达显著高于败育胚珠，二者是胚珠育性和芽发育研究的候选基因。</t>
        </is>
      </c>
    </row>
    <row r="229">
      <c r="A229" s="2" t="n">
        <v>228</v>
      </c>
      <c r="B229" s="2" t="n">
        <v>47</v>
      </c>
      <c r="C229" s="2" t="inlineStr">
        <is>
          <t>047_2023_Genome-wide identification, evolution and transcriptome analysis of GRAS gene family in Chinese .md</t>
        </is>
      </c>
      <c r="D229" s="2" t="inlineStr">
        <is>
          <t>中国板栗GRAS基因家族的全基因组鉴定、进化与转录组分析</t>
        </is>
      </c>
      <c r="E229" s="2" t="inlineStr">
        <is>
          <t>基因组与基因家族</t>
        </is>
      </c>
      <c r="F229" s="2" t="inlineStr">
        <is>
          <t>基础研究</t>
        </is>
      </c>
      <c r="G229" s="2" t="inlineStr">
        <is>
          <t>DELLA结构域缺失导致假基因化</t>
        </is>
      </c>
      <c r="H229" s="2" t="inlineStr">
        <is>
          <t>DELLA亚家族成员CmGRAS2缺失DELLA保守结构域（同时缺失motif 7/8和延伸β折叠链，与含DELLA结构域的CmGRAS1/4三维结构RMSD达11.43Å），在芽、可育/败育胚珠等所有样品中几乎检测不到转录本（TPM&lt;0.05），推测DELLA结构域缺失导致其功能丧失成为假基因。</t>
        </is>
      </c>
    </row>
    <row r="230">
      <c r="A230" s="2" t="n">
        <v>229</v>
      </c>
      <c r="B230" s="2" t="n">
        <v>47</v>
      </c>
      <c r="C230" s="2" t="inlineStr">
        <is>
          <t>047_2023_Genome-wide identification, evolution and transcriptome analysis of GRAS gene family in Chinese .md</t>
        </is>
      </c>
      <c r="D230" s="2" t="inlineStr">
        <is>
          <t>中国板栗GRAS基因家族的全基因组鉴定、进化与转录组分析</t>
        </is>
      </c>
      <c r="E230" s="2" t="inlineStr">
        <is>
          <t>基因组与基因家族</t>
        </is>
      </c>
      <c r="F230" s="2" t="inlineStr">
        <is>
          <t>营养功效</t>
        </is>
      </c>
      <c r="G230" s="2" t="inlineStr">
        <is>
          <t>板栗氨基酸与矿物质营养</t>
        </is>
      </c>
      <c r="H230" s="2" t="inlineStr">
        <is>
          <t>板栗富含天冬氨酸、谷氨酸等酸性氨基酸，可提供质子淬灭自由基、保护人体细胞；谷氨酸参与脑蛋白代谢、提高中枢神经活性；富含的甘氨酸有助于控制血胆固醇和血糖水平，辅助防治高血压和糖尿病；钙、铁、锌、硒含量丰富，对维持人体健康有重要作用。</t>
        </is>
      </c>
    </row>
    <row r="231">
      <c r="A231" s="2" t="n">
        <v>230</v>
      </c>
      <c r="B231" s="2" t="n">
        <v>48</v>
      </c>
      <c r="C231" s="2" t="inlineStr">
        <is>
          <t>048_2023_Hyperspectral imaging-based prediction of soluble sugar content in Chinese chestnuts.md</t>
        </is>
      </c>
      <c r="D231" s="2" t="inlineStr">
        <is>
          <t>基于高光谱成像的板栗可溶性糖含量预测</t>
        </is>
      </c>
      <c r="E231" s="2" t="inlineStr">
        <is>
          <t>果实品质与营养</t>
        </is>
      </c>
      <c r="F231" s="2" t="inlineStr">
        <is>
          <t>采收贮藏</t>
        </is>
      </c>
      <c r="G231" s="2" t="inlineStr">
        <is>
          <t>高光谱无损检测板栗可溶性糖</t>
        </is>
      </c>
      <c r="H231" s="2" t="inlineStr">
        <is>
          <t>采用400-1000 nm高光谱成像结合化学计量学可实现板栗可溶性糖含量快速无损预测：BS（块尺度）预处理结合rep变量筛选的PLS模型最优，校正集R2=0.59、RMSE=1.02，验证集R2=0.66、RMSE=0.94，可用于品质控制、分选和遗传选择，这是高光谱技术用于板栗品质检测的首次报道。</t>
        </is>
      </c>
    </row>
    <row r="232">
      <c r="A232" s="2" t="n">
        <v>231</v>
      </c>
      <c r="B232" s="2" t="n">
        <v>48</v>
      </c>
      <c r="C232" s="2" t="inlineStr">
        <is>
          <t>048_2023_Hyperspectral imaging-based prediction of soluble sugar content in Chinese chestnuts.md</t>
        </is>
      </c>
      <c r="D232" s="2" t="inlineStr">
        <is>
          <t>基于高光谱成像的板栗可溶性糖含量预测</t>
        </is>
      </c>
      <c r="E232" s="2" t="inlineStr">
        <is>
          <t>果实品质与营养</t>
        </is>
      </c>
      <c r="F232" s="2" t="inlineStr">
        <is>
          <t>繁殖育种</t>
        </is>
      </c>
      <c r="G232" s="2" t="inlineStr">
        <is>
          <t>可溶性糖预测关键波长</t>
        </is>
      </c>
      <c r="H232" s="2" t="inlineStr">
        <is>
          <t>464.3、503.2、539.3、579和711.3 nm是建立板栗可溶性糖预测模型的关键波长；变量筛选将建模波段从176个减至42个，在保持精度的同时降低计算成本、提高模型稳健性。</t>
        </is>
      </c>
    </row>
    <row r="233">
      <c r="A233" s="2" t="n">
        <v>232</v>
      </c>
      <c r="B233" s="2" t="n">
        <v>48</v>
      </c>
      <c r="C233" s="2" t="inlineStr">
        <is>
          <t>048_2023_Hyperspectral imaging-based prediction of soluble sugar content in Chinese chestnuts.md</t>
        </is>
      </c>
      <c r="D233" s="2" t="inlineStr">
        <is>
          <t>基于高光谱成像的板栗可溶性糖含量预测</t>
        </is>
      </c>
      <c r="E233" s="2" t="inlineStr">
        <is>
          <t>果实品质与营养</t>
        </is>
      </c>
      <c r="F233" s="2" t="inlineStr">
        <is>
          <t>品种选择</t>
        </is>
      </c>
      <c r="G233" s="2" t="inlineStr">
        <is>
          <t>板栗糖组成与影响因素</t>
        </is>
      </c>
      <c r="H233" s="2" t="inlineStr">
        <is>
          <t>板栗富含可溶性糖，主要由蔗糖、果糖和葡萄糖组成，甜味取决于三者的含量；其含量受品种、产地（生长地点）和其他环境条件影响，遗传选择是获得优质高糖板栗并降低环境影响的必要途径。</t>
        </is>
      </c>
    </row>
    <row r="234">
      <c r="A234" s="2" t="n">
        <v>233</v>
      </c>
      <c r="B234" s="2" t="n">
        <v>48</v>
      </c>
      <c r="C234" s="2" t="inlineStr">
        <is>
          <t>048_2023_Hyperspectral imaging-based prediction of soluble sugar content in Chinese chestnuts.md</t>
        </is>
      </c>
      <c r="D234" s="2" t="inlineStr">
        <is>
          <t>基于高光谱成像的板栗可溶性糖含量预测</t>
        </is>
      </c>
      <c r="E234" s="2" t="inlineStr">
        <is>
          <t>果实品质与营养</t>
        </is>
      </c>
      <c r="F234" s="2" t="inlineStr">
        <is>
          <t>基础研究</t>
        </is>
      </c>
      <c r="G234" s="2" t="inlineStr">
        <is>
          <t>检测模型精度与局限</t>
        </is>
      </c>
      <c r="H234" s="2" t="inlineStr">
        <is>
          <t>模型对可溶性糖含量低于5%的样品易低估、高于7%时易高估；新鲜栗仁含水量高、质地成分复杂（近红外区水分强吸收）及半球形果面曲度是限制预测精度的主要因素，采集果实表面多个区域光谱可提高模型精度。</t>
        </is>
      </c>
    </row>
    <row r="235">
      <c r="A235" s="2" t="n">
        <v>234</v>
      </c>
      <c r="B235" s="2" t="n">
        <v>49</v>
      </c>
      <c r="C235" s="2" t="inlineStr">
        <is>
          <t>049_2023_Integrated transcriptome, metabolome and phytohormone analysis reveals developmental differences.md</t>
        </is>
      </c>
      <c r="D235" s="2" t="inlineStr">
        <is>
          <t>转录组、代谢组与植物激素联合分析揭示板栗一次花与二次花发育差异</t>
        </is>
      </c>
      <c r="E235" s="2" t="inlineStr">
        <is>
          <t>生理与分子机制</t>
        </is>
      </c>
      <c r="F235" s="2" t="inlineStr">
        <is>
          <t>品种选择</t>
        </is>
      </c>
      <c r="G235" s="2" t="inlineStr">
        <is>
          <t>'遵化短刺'二次开花结果特性</t>
        </is>
      </c>
      <c r="H235" s="2" t="inlineStr">
        <is>
          <t>'遵化短刺'板栗一年开花结果两次（8-10月二次开花结果），二次花每结果枝雌花数比一次花显著增加7倍达15个，两性花序增加5倍达9-10个，雄花序显著减少，单枝结果约14个而一次花仅约2个，可成串结果；其二次花是研究板栗性别分化的良好材料。</t>
        </is>
      </c>
    </row>
    <row r="236">
      <c r="A236" s="2" t="n">
        <v>235</v>
      </c>
      <c r="B236" s="2" t="n">
        <v>49</v>
      </c>
      <c r="C236" s="2" t="inlineStr">
        <is>
          <t>049_2023_Integrated transcriptome, metabolome and phytohormone analysis reveals developmental differences.md</t>
        </is>
      </c>
      <c r="D236" s="2" t="inlineStr">
        <is>
          <t>转录组、代谢组与植物激素联合分析揭示板栗一次花与二次花发育差异</t>
        </is>
      </c>
      <c r="E236" s="2" t="inlineStr">
        <is>
          <t>生理与分子机制</t>
        </is>
      </c>
      <c r="F236" s="2" t="inlineStr">
        <is>
          <t>栽培管理</t>
        </is>
      </c>
      <c r="G236" s="2" t="inlineStr">
        <is>
          <t>二次开花的危害</t>
        </is>
      </c>
      <c r="H236" s="2" t="inlineStr">
        <is>
          <t>板栗二次开花（通常7-9月异常开花）会消耗树体大量营养、削弱树势、降低冬季抗寒性，导致翌年花量和产量下降；栽培上应促进一次花（春季花）的形成和开放、改善雌雄花比例，同时防止二次开花发生。</t>
        </is>
      </c>
    </row>
    <row r="237">
      <c r="A237" s="2" t="n">
        <v>236</v>
      </c>
      <c r="B237" s="2" t="n">
        <v>49</v>
      </c>
      <c r="C237" s="2" t="inlineStr">
        <is>
          <t>049_2023_Integrated transcriptome, metabolome and phytohormone analysis reveals developmental differences.md</t>
        </is>
      </c>
      <c r="D237" s="2" t="inlineStr">
        <is>
          <t>转录组、代谢组与植物激素联合分析揭示板栗一次花与二次花发育差异</t>
        </is>
      </c>
      <c r="E237" s="2" t="inlineStr">
        <is>
          <t>生理与分子机制</t>
        </is>
      </c>
      <c r="F237" s="2" t="inlineStr">
        <is>
          <t>栽培管理</t>
        </is>
      </c>
      <c r="G237" s="2" t="inlineStr">
        <is>
          <t>二次开花的环境成因</t>
        </is>
      </c>
      <c r="H237" s="2" t="inlineStr">
        <is>
          <t>二次开花与夏末秋初的光周期和高温胁迫密切相关：高温诱导HSP20等热激蛋白表达提高耐热性，昼夜节律基因（CDF1、LHY）、类胡萝卜素合成（ABA前体）和苯丙烷代谢（SA来源）等通路协同改变诱发二次成花；二次开花具明显基因型差异，并非所有品种在相同条件下都会二次开花，抗性弱的品种更易发生。</t>
        </is>
      </c>
    </row>
    <row r="238">
      <c r="A238" s="2" t="n">
        <v>237</v>
      </c>
      <c r="B238" s="2" t="n">
        <v>49</v>
      </c>
      <c r="C238" s="2" t="inlineStr">
        <is>
          <t>049_2023_Integrated transcriptome, metabolome and phytohormone analysis reveals developmental differences.md</t>
        </is>
      </c>
      <c r="D238" s="2" t="inlineStr">
        <is>
          <t>转录组、代谢组与植物激素联合分析揭示板栗一次花与二次花发育差异</t>
        </is>
      </c>
      <c r="E238" s="2" t="inlineStr">
        <is>
          <t>生理与分子机制</t>
        </is>
      </c>
      <c r="F238" s="2" t="inlineStr">
        <is>
          <t>基础研究</t>
        </is>
      </c>
      <c r="G238" s="2" t="inlineStr">
        <is>
          <t>激素与二次花形成的关系</t>
        </is>
      </c>
      <c r="H238" s="2" t="inlineStr">
        <is>
          <t>二次花中ABA（306→149 ng/g FW）和水杨酸SA（845→276 ng/g FW）含量显著低于一次花，与二次花形成呈负相关；而细胞分裂素IP（0.14→0.76 ng/g）、tZ（0.65→1.71）、茉莉酸甲酯MEJA（2.52→5.49）和赤霉素GA20（0.11→0.37 ng/g FW）显著上调，提示高细胞分裂素和低ABA/SA水平有利于雌花形成。</t>
        </is>
      </c>
    </row>
    <row r="239">
      <c r="A239" s="2" t="n">
        <v>238</v>
      </c>
      <c r="B239" s="2" t="n">
        <v>49</v>
      </c>
      <c r="C239" s="2" t="inlineStr">
        <is>
          <t>049_2023_Integrated transcriptome, metabolome and phytohormone analysis reveals developmental differences.md</t>
        </is>
      </c>
      <c r="D239" s="2" t="inlineStr">
        <is>
          <t>转录组、代谢组与植物激素联合分析揭示板栗一次花与二次花发育差异</t>
        </is>
      </c>
      <c r="E239" s="2" t="inlineStr">
        <is>
          <t>生理与分子机制</t>
        </is>
      </c>
      <c r="F239" s="2" t="inlineStr">
        <is>
          <t>繁殖育种</t>
        </is>
      </c>
      <c r="G239" s="2" t="inlineStr">
        <is>
          <t>MYB305调控性别分化</t>
        </is>
      </c>
      <c r="H239" s="2" t="inlineStr">
        <is>
          <t>筛选出MYB305转录因子为板栗性别分化候选基因，其与2-O-三没食子酰基葡萄糖苷、槲皮素-3-O-(2'',3''-二没食子酰基)-葡萄糖苷等15个黄酮类代谢物显著正相关，通过正调控黄酮合成影响板栗雌雄花比例（提高雌花数），为增加雌花、减少雄花、提高板栗产量提供分子靶点。</t>
        </is>
      </c>
    </row>
    <row r="240">
      <c r="A240" s="2" t="n">
        <v>239</v>
      </c>
      <c r="B240" s="2" t="n">
        <v>50</v>
      </c>
      <c r="C240" s="2" t="inlineStr">
        <is>
          <t>050_2023_Optimization of Processing Technology of Chinese Chestnut Stuffing by Response Surface Methodolo.md</t>
        </is>
      </c>
      <c r="D240" s="2" t="inlineStr">
        <is>
          <t>响应面法优化板栗馅料加工工艺</t>
        </is>
      </c>
      <c r="E240" s="2" t="inlineStr">
        <is>
          <t>加工与贮藏</t>
        </is>
      </c>
      <c r="F240" s="2" t="inlineStr">
        <is>
          <t>加工利用</t>
        </is>
      </c>
      <c r="G240" s="2" t="inlineStr">
        <is>
          <t>板栗制馅最佳熟度与粒径</t>
        </is>
      </c>
      <c r="H240" s="2" t="inlineStr">
        <is>
          <t>制作板栗馅料时板栗应蒸至五至七分熟、破碎至4-6目粒径：完全蒸熟的板栗淀粉全部糊化、易粘容器并影响馅料利用率，生料或糊化度低则不易成团；2目颗粒过大松散不成型、咀嚼性差，10目以下过细则口感易碎渣。</t>
        </is>
      </c>
    </row>
    <row r="241">
      <c r="A241" s="2" t="n">
        <v>240</v>
      </c>
      <c r="B241" s="2" t="n">
        <v>50</v>
      </c>
      <c r="C241" s="2" t="inlineStr">
        <is>
          <t>050_2023_Optimization of Processing Technology of Chinese Chestnut Stuffing by Response Surface Methodolo.md</t>
        </is>
      </c>
      <c r="D241" s="2" t="inlineStr">
        <is>
          <t>响应面法优化板栗馅料加工工艺</t>
        </is>
      </c>
      <c r="E241" s="2" t="inlineStr">
        <is>
          <t>加工与贮藏</t>
        </is>
      </c>
      <c r="F241" s="2" t="inlineStr">
        <is>
          <t>加工利用</t>
        </is>
      </c>
      <c r="G241" s="2" t="inlineStr">
        <is>
          <t>板栗馅最优辅料配比</t>
        </is>
      </c>
      <c r="H241" s="2" t="inlineStr">
        <is>
          <t>以25 g板栗为基准，响应面优化最佳复配比为薏米8.96 g、红豆9.77 g、枣泥7.37 g，验证感官评分8.28分与理论值8.32分误差仅0.48%；单因素与正交阶段较优水平为薏米9-10 g、红豆10 g、枣泥6-7 g，可直接作为生产配方参考。</t>
        </is>
      </c>
    </row>
    <row r="242">
      <c r="A242" s="2" t="n">
        <v>241</v>
      </c>
      <c r="B242" s="2" t="n">
        <v>50</v>
      </c>
      <c r="C242" s="2" t="inlineStr">
        <is>
          <t>050_2023_Optimization of Processing Technology of Chinese Chestnut Stuffing by Response Surface Methodolo.md</t>
        </is>
      </c>
      <c r="D242" s="2" t="inlineStr">
        <is>
          <t>响应面法优化板栗馅料加工工艺</t>
        </is>
      </c>
      <c r="E242" s="2" t="inlineStr">
        <is>
          <t>加工与贮藏</t>
        </is>
      </c>
      <c r="F242" s="2" t="inlineStr">
        <is>
          <t>加工利用</t>
        </is>
      </c>
      <c r="G242" s="2" t="inlineStr">
        <is>
          <t>辅料对风味与成型的影响</t>
        </is>
      </c>
      <c r="H242" s="2" t="inlineStr">
        <is>
          <t>薏米添加量对馅料感官评分影响最大（因素主次：薏米&gt;枣泥&gt;红豆）；枣泥香甜且富含果胶有助于成型，但枣泥量过大或甜味过强会掩盖板栗风味；红豆添加过多使馅料色红、质地松散、成型性下降，红豆需浸泡6 h以上煮熟后打泥使用。</t>
        </is>
      </c>
    </row>
    <row r="243">
      <c r="A243" s="2" t="n">
        <v>242</v>
      </c>
      <c r="B243" s="2" t="n">
        <v>50</v>
      </c>
      <c r="C243" s="2" t="inlineStr">
        <is>
          <t>050_2023_Optimization of Processing Technology of Chinese Chestnut Stuffing by Response Surface Methodolo.md</t>
        </is>
      </c>
      <c r="D243" s="2" t="inlineStr">
        <is>
          <t>响应面法优化板栗馅料加工工艺</t>
        </is>
      </c>
      <c r="E243" s="2" t="inlineStr">
        <is>
          <t>加工与贮藏</t>
        </is>
      </c>
      <c r="F243" s="2" t="inlineStr">
        <is>
          <t>加工利用</t>
        </is>
      </c>
      <c r="G243" s="2" t="inlineStr">
        <is>
          <t>无油板栗馅产品定位与营养</t>
        </is>
      </c>
      <c r="H243" s="2" t="inlineStr">
        <is>
          <t>传统栗蓉需加烹调油炒制、导致馅料脂肪含量升高，本工艺开发颗粒状板栗馅全程不加油炸；薏米含维生素E、薏苡仁酯和硒等成分，红豆利水消肿、解毒排脓，红枣富含铁元素可改善缺铁性贫血、安神并增强肝功能，与板栗营养互补。</t>
        </is>
      </c>
    </row>
    <row r="244">
      <c r="A244" s="2" t="n">
        <v>243</v>
      </c>
      <c r="B244" s="2" t="n">
        <v>51</v>
      </c>
      <c r="C244" s="2" t="inlineStr">
        <is>
          <t>051_2023_Physicochemical Properties and Antitumor Activities of Polysaccharides Separated from Chinese Ch.md</t>
        </is>
      </c>
      <c r="D244" s="2" t="inlineStr">
        <is>
          <t>膜过滤分离板栗多糖的理化性质与抗肿瘤活性</t>
        </is>
      </c>
      <c r="E244" s="2" t="inlineStr">
        <is>
          <t>生物活性与功效</t>
        </is>
      </c>
      <c r="F244" s="2" t="inlineStr">
        <is>
          <t>加工利用</t>
        </is>
      </c>
      <c r="G244" s="2" t="inlineStr">
        <is>
          <t>板栗多糖的膜分离提取纯化工艺</t>
        </is>
      </c>
      <c r="H244" s="2" t="inlineStr">
        <is>
          <t>板栗仁热水提取（1:15料水比、80℃、2h）后，依次经0.1μm微滤、3000Da超滤、300Da纳滤组合膜分离浓缩，再经DEAE-Sepharose FF柱层析水洗脱，可获得纯度95.20%的中性多糖N-CP；膜分离对活性物质无破坏、效率高、无污染。</t>
        </is>
      </c>
    </row>
    <row r="245">
      <c r="A245" s="2" t="n">
        <v>244</v>
      </c>
      <c r="B245" s="2" t="n">
        <v>51</v>
      </c>
      <c r="C245" s="2" t="inlineStr">
        <is>
          <t>051_2023_Physicochemical Properties and Antitumor Activities of Polysaccharides Separated from Chinese Ch.md</t>
        </is>
      </c>
      <c r="D245" s="2" t="inlineStr">
        <is>
          <t>膜过滤分离板栗多糖的理化性质与抗肿瘤活性</t>
        </is>
      </c>
      <c r="E245" s="2" t="inlineStr">
        <is>
          <t>生物活性与功效</t>
        </is>
      </c>
      <c r="F245" s="2" t="inlineStr">
        <is>
          <t>基础研究</t>
        </is>
      </c>
      <c r="G245" s="2" t="inlineStr">
        <is>
          <t>板栗中性多糖N-CP的结构特征</t>
        </is>
      </c>
      <c r="H245" s="2" t="inlineStr">
        <is>
          <t>N-CP主要由葡萄糖、半乳糖、阿拉伯糖组成（摩尔比83.27:8.35:7.72），含微量甘露糖；重均分子量482.34 kDa，多分散系数2.81；蛋白(1.35%)和糖醛酸(0.11%)含量极低，SEM呈不规则碎片状聚集形态。</t>
        </is>
      </c>
    </row>
    <row r="246">
      <c r="A246" s="2" t="n">
        <v>245</v>
      </c>
      <c r="B246" s="2" t="n">
        <v>51</v>
      </c>
      <c r="C246" s="2" t="inlineStr">
        <is>
          <t>051_2023_Physicochemical Properties and Antitumor Activities of Polysaccharides Separated from Chinese Ch.md</t>
        </is>
      </c>
      <c r="D246" s="2" t="inlineStr">
        <is>
          <t>膜过滤分离板栗多糖的理化性质与抗肿瘤活性</t>
        </is>
      </c>
      <c r="E246" s="2" t="inlineStr">
        <is>
          <t>生物活性与功效</t>
        </is>
      </c>
      <c r="F246" s="2" t="inlineStr">
        <is>
          <t>营养功效</t>
        </is>
      </c>
      <c r="G246" s="2" t="inlineStr">
        <is>
          <t>板栗多糖的体外抗肿瘤活性</t>
        </is>
      </c>
      <c r="H246" s="2" t="inlineStr">
        <is>
          <t>N-CP对Hela宫颈癌细胞和A549肺癌细胞增殖的抑制呈明显剂量效应，IC50分别为35.45 μg/mL和25.94 μg/mL；250 μg/mL浓度下对A549抑制率超过85%、对Hela超过75%，提示板栗多糖具有开发抗肿瘤功能食品和药物的潜力。</t>
        </is>
      </c>
    </row>
    <row r="247">
      <c r="A247" s="2" t="n">
        <v>246</v>
      </c>
      <c r="B247" s="2" t="n">
        <v>51</v>
      </c>
      <c r="C247" s="2" t="inlineStr">
        <is>
          <t>051_2023_Physicochemical Properties and Antitumor Activities of Polysaccharides Separated from Chinese Ch.md</t>
        </is>
      </c>
      <c r="D247" s="2" t="inlineStr">
        <is>
          <t>膜过滤分离板栗多糖的理化性质与抗肿瘤活性</t>
        </is>
      </c>
      <c r="E247" s="2" t="inlineStr">
        <is>
          <t>生物活性与功效</t>
        </is>
      </c>
      <c r="F247" s="2" t="inlineStr">
        <is>
          <t>加工利用</t>
        </is>
      </c>
      <c r="G247" s="2" t="inlineStr">
        <is>
          <t>板栗多糖的热稳定性</t>
        </is>
      </c>
      <c r="H247" s="2" t="inlineStr">
        <is>
          <t>TG分析显示N-CP在72℃出现失水峰，184℃出现第二失重峰（失重率50.70%，源于官能团消除和分子链降解），700℃残余质量分数32.85%，表明其在常规食品加工温度范围内结构稳定。</t>
        </is>
      </c>
    </row>
    <row r="248">
      <c r="A248" s="2" t="n">
        <v>247</v>
      </c>
      <c r="B248" s="2" t="n">
        <v>51</v>
      </c>
      <c r="C248" s="2" t="inlineStr">
        <is>
          <t>051_2023_Physicochemical Properties and Antitumor Activities of Polysaccharides Separated from Chinese Ch.md</t>
        </is>
      </c>
      <c r="D248" s="2" t="inlineStr">
        <is>
          <t>膜过滤分离板栗多糖的理化性质与抗肿瘤活性</t>
        </is>
      </c>
      <c r="E248" s="2" t="inlineStr">
        <is>
          <t>生物活性与功效</t>
        </is>
      </c>
      <c r="F248" s="2" t="inlineStr">
        <is>
          <t>营养功效</t>
        </is>
      </c>
      <c r="G248" s="2" t="inlineStr">
        <is>
          <t>板栗仁的保健与药用价值背景</t>
        </is>
      </c>
      <c r="H248" s="2" t="inlineStr">
        <is>
          <t>板栗富含多糖、蛋白质、多酚、维生素和矿物质；中医认为板栗有健脾养胃、补肾强筋、活血止血等功效，其多糖类成分是重要功能因子，近年研究还发现板栗多糖与改善精子发生等作用相关。</t>
        </is>
      </c>
    </row>
    <row r="249">
      <c r="A249" s="2" t="n">
        <v>248</v>
      </c>
      <c r="B249" s="2" t="n">
        <v>52</v>
      </c>
      <c r="C249" s="2" t="inlineStr">
        <is>
          <t>052_2023_Transcriptome analysis of differential sugar accumulation in the developing embryo of contrastin.md</t>
        </is>
      </c>
      <c r="D249" s="2" t="inlineStr">
        <is>
          <t>两个板栗品种胚发育过程中糖分差异积累的转录组分析</t>
        </is>
      </c>
      <c r="E249" s="2" t="inlineStr">
        <is>
          <t>生理与分子机制</t>
        </is>
      </c>
      <c r="F249" s="2" t="inlineStr">
        <is>
          <t>品种选择</t>
        </is>
      </c>
      <c r="G249" s="2" t="inlineStr">
        <is>
          <t>高糖与低糖板栗品种的可溶性糖差异</t>
        </is>
      </c>
      <c r="H249" s="2" t="inlineStr">
        <is>
          <t>高糖品种'燕龙'成熟期种胚可溶性糖含量达9%，是低糖品种'燕山早丰'的1.5倍；90-100 DAF时'燕龙'蔗糖含量比'燕山早丰'高1.5倍；板栗甜味主要取决于蔗糖含量（调查显示超70%消费者把口味作为购买板栗的首要因素）。</t>
        </is>
      </c>
    </row>
    <row r="250">
      <c r="A250" s="2" t="n">
        <v>249</v>
      </c>
      <c r="B250" s="2" t="n">
        <v>52</v>
      </c>
      <c r="C250" s="2" t="inlineStr">
        <is>
          <t>052_2023_Transcriptome analysis of differential sugar accumulation in the developing embryo of contrastin.md</t>
        </is>
      </c>
      <c r="D250" s="2" t="inlineStr">
        <is>
          <t>两个板栗品种胚发育过程中糖分差异积累的转录组分析</t>
        </is>
      </c>
      <c r="E250" s="2" t="inlineStr">
        <is>
          <t>生理与分子机制</t>
        </is>
      </c>
      <c r="F250" s="2" t="inlineStr">
        <is>
          <t>基础研究</t>
        </is>
      </c>
      <c r="G250" s="2" t="inlineStr">
        <is>
          <t>板栗胚发育过程中糖分组成变化规律</t>
        </is>
      </c>
      <c r="H250" s="2" t="inlineStr">
        <is>
          <t>发育早期（60-70 DAF）胚中可溶性糖以蔗糖、葡萄糖、果糖为主，葡萄糖和果糖含量&gt;87.01 mg/g；80-100 DAF二者骤降至&lt;3.68 mg/g；成熟板栗可溶性糖以蔗糖为主（&gt;38.67 mg/g），其他糖代谢物很低（&lt;3.30 mg/g）；棉子糖、麦芽糖等在成熟期含量上升使栗果更甜。</t>
        </is>
      </c>
    </row>
    <row r="251">
      <c r="A251" s="2" t="n">
        <v>250</v>
      </c>
      <c r="B251" s="2" t="n">
        <v>52</v>
      </c>
      <c r="C251" s="2" t="inlineStr">
        <is>
          <t>052_2023_Transcriptome analysis of differential sugar accumulation in the developing embryo of contrastin.md</t>
        </is>
      </c>
      <c r="D251" s="2" t="inlineStr">
        <is>
          <t>两个板栗品种胚发育过程中糖分差异积累的转录组分析</t>
        </is>
      </c>
      <c r="E251" s="2" t="inlineStr">
        <is>
          <t>生理与分子机制</t>
        </is>
      </c>
      <c r="F251" s="2" t="inlineStr">
        <is>
          <t>基础研究</t>
        </is>
      </c>
      <c r="G251" s="2" t="inlineStr">
        <is>
          <t>高糖积累的分子机制：淀粉降解转化为蔗糖</t>
        </is>
      </c>
      <c r="H251" s="2" t="inlineStr">
        <is>
          <t>高糖品种'燕龙'在90-100 DAF上调淀粉降解基因（GWD、PWD、LDA、ISA、PHS1、MEX1等）和淀粉合成基因表达，淀粉降解明显强于低糖品种；SUS3基因(bl_024378)在90-100 DAF高表达，SUS合成方向酶活性显著更高；支链淀粉由56.03%降至44.77%，淀粉降解是成熟期可溶性糖增加的重要途径。</t>
        </is>
      </c>
    </row>
    <row r="252">
      <c r="A252" s="2" t="n">
        <v>251</v>
      </c>
      <c r="B252" s="2" t="n">
        <v>52</v>
      </c>
      <c r="C252" s="2" t="inlineStr">
        <is>
          <t>052_2023_Transcriptome analysis of differential sugar accumulation in the developing embryo of contrastin.md</t>
        </is>
      </c>
      <c r="D252" s="2" t="inlineStr">
        <is>
          <t>两个板栗品种胚发育过程中糖分差异积累的转录组分析</t>
        </is>
      </c>
      <c r="E252" s="2" t="inlineStr">
        <is>
          <t>生理与分子机制</t>
        </is>
      </c>
      <c r="F252" s="2" t="inlineStr">
        <is>
          <t>基础研究</t>
        </is>
      </c>
      <c r="G252" s="2" t="inlineStr">
        <is>
          <t>ABA与低温促进板栗糖分积累</t>
        </is>
      </c>
      <c r="H252" s="2" t="inlineStr">
        <is>
          <t>90 DAF时高糖品种'燕龙'胚中ABA含量显著高于'燕山早丰'，PYL、PP2C、SnRK2等ABA信号基因表达也更高；低温应答基因COR与淀粉降解关键酶基因GWD(bl_017818)共表达，ABA和过氧化物可能促进成熟期淀粉分解为可溶性糖；晚熟品种因发育期温度更低，可能是糖含量更高的原因之一。</t>
        </is>
      </c>
    </row>
    <row r="253">
      <c r="A253" s="2" t="n">
        <v>252</v>
      </c>
      <c r="B253" s="2" t="n">
        <v>52</v>
      </c>
      <c r="C253" s="2" t="inlineStr">
        <is>
          <t>052_2023_Transcriptome analysis of differential sugar accumulation in the developing embryo of contrastin.md</t>
        </is>
      </c>
      <c r="D253" s="2" t="inlineStr">
        <is>
          <t>两个板栗品种胚发育过程中糖分差异积累的转录组分析</t>
        </is>
      </c>
      <c r="E253" s="2" t="inlineStr">
        <is>
          <t>生理与分子机制</t>
        </is>
      </c>
      <c r="F253" s="2" t="inlineStr">
        <is>
          <t>基础研究</t>
        </is>
      </c>
      <c r="G253" s="2" t="inlineStr">
        <is>
          <t>板栗蔗糖合酶(SUS)基因家族</t>
        </is>
      </c>
      <c r="H253" s="2" t="inlineStr">
        <is>
          <t>板栗基因组中共鉴定8个SUS基因，分属3个亚家族（2、4、2个基因分别属于SUSI、SUSII、SUSIII亚家族）；SUS2基因（bl_022590、bl_022593、bl_022594）在60-90 DAF高表达，SUS3在90-100 DAF高糖品种中表达显著更高，SUS6低表达；SUS酶活性变化与两品种蔗糖含量变化一致。</t>
        </is>
      </c>
    </row>
    <row r="254">
      <c r="A254" s="2" t="n">
        <v>253</v>
      </c>
      <c r="B254" s="2" t="n">
        <v>53</v>
      </c>
      <c r="C254" s="2" t="inlineStr">
        <is>
          <t>053_2023_Transcriptome analysis reveals key genes involved in the resistance to Cryphonectria parasitica .md</t>
        </is>
      </c>
      <c r="D254" s="2" t="inlineStr">
        <is>
          <t>转录组分析揭示中国板栗早期抗栗疫病的关键基因</t>
        </is>
      </c>
      <c r="E254" s="2" t="inlineStr">
        <is>
          <t>病虫害防治</t>
        </is>
      </c>
      <c r="F254" s="2" t="inlineStr">
        <is>
          <t>病虫害防治</t>
        </is>
      </c>
      <c r="G254" s="2" t="inlineStr">
        <is>
          <t>栗疫病菌的侵染过程与关键时间节点</t>
        </is>
      </c>
      <c r="H254" s="2" t="inlineStr">
        <is>
          <t>栗疫病菌经伤口侵染：接种后0-6h病菌在伤口表面增殖，表皮细胞尚稳定；9h时菌丝大量侵入韧皮部和形成层细胞间隙（沿细胞间隙或胞间连丝传播），寄主细胞开始降解并出现超敏反应(HR)，9h是板栗感染栗疫病的关键期和溃疡斑形成的重要节点。</t>
        </is>
      </c>
    </row>
    <row r="255">
      <c r="A255" s="2" t="n">
        <v>254</v>
      </c>
      <c r="B255" s="2" t="n">
        <v>53</v>
      </c>
      <c r="C255" s="2" t="inlineStr">
        <is>
          <t>053_2023_Transcriptome analysis reveals key genes involved in the resistance to Cryphonectria parasitica .md</t>
        </is>
      </c>
      <c r="D255" s="2" t="inlineStr">
        <is>
          <t>转录组分析揭示中国板栗早期抗栗疫病的关键基因</t>
        </is>
      </c>
      <c r="E255" s="2" t="inlineStr">
        <is>
          <t>病虫害防治</t>
        </is>
      </c>
      <c r="F255" s="2" t="inlineStr">
        <is>
          <t>病虫害防治</t>
        </is>
      </c>
      <c r="G255" s="2" t="inlineStr">
        <is>
          <t>茉莉酸(JA)途径是板栗早期抗栗疫病的核心</t>
        </is>
      </c>
      <c r="H255" s="2" t="inlineStr">
        <is>
          <t>接种后板栗枝条中JA生物合成与代谢通路关键基因（AOS、ACX、DOX、OPR、JMT、DAD、JAR、MFP等）全部上调，整个JA代谢通路被激活；该结果在已知抗病品种'燕红'中获得qRT-PCR验证；SA、JA、ET三种激素信号在抗病反应中协同发挥作用。</t>
        </is>
      </c>
    </row>
    <row r="256">
      <c r="A256" s="2" t="n">
        <v>255</v>
      </c>
      <c r="B256" s="2" t="n">
        <v>53</v>
      </c>
      <c r="C256" s="2" t="inlineStr">
        <is>
          <t>053_2023_Transcriptome analysis reveals key genes involved in the resistance to Cryphonectria parasitica .md</t>
        </is>
      </c>
      <c r="D256" s="2" t="inlineStr">
        <is>
          <t>转录组分析揭示中国板栗早期抗栗疫病的关键基因</t>
        </is>
      </c>
      <c r="E256" s="2" t="inlineStr">
        <is>
          <t>病虫害防治</t>
        </is>
      </c>
      <c r="F256" s="2" t="inlineStr">
        <is>
          <t>病虫害防治</t>
        </is>
      </c>
      <c r="G256" s="2" t="inlineStr">
        <is>
          <t>几丁质酶在抗病中的作用</t>
        </is>
      </c>
      <c r="H256" s="2" t="inlineStr">
        <is>
          <t>侵染早期板栗有7个几丁质酶基因在氨基糖和核苷酸糖代谢通路中显著上调，几丁质酶通过水解病菌几丁质糖苷键抑制栗疫病菌生长，是重要的诱导性防御蛋白；欧洲栗过表达几丁质酶基因CsCHI3的转基因株系抗病性有所增强。</t>
        </is>
      </c>
    </row>
    <row r="257">
      <c r="A257" s="2" t="n">
        <v>256</v>
      </c>
      <c r="B257" s="2" t="n">
        <v>53</v>
      </c>
      <c r="C257" s="2" t="inlineStr">
        <is>
          <t>053_2023_Transcriptome analysis reveals key genes involved in the resistance to Cryphonectria parasitica .md</t>
        </is>
      </c>
      <c r="D257" s="2" t="inlineStr">
        <is>
          <t>转录组分析揭示中国板栗早期抗栗疫病的关键基因</t>
        </is>
      </c>
      <c r="E257" s="2" t="inlineStr">
        <is>
          <t>病虫害防治</t>
        </is>
      </c>
      <c r="F257" s="2" t="inlineStr">
        <is>
          <t>基础研究</t>
        </is>
      </c>
      <c r="G257" s="2" t="inlineStr">
        <is>
          <t>板栗早期免疫以PTI为主</t>
        </is>
      </c>
      <c r="H257" s="2" t="inlineStr">
        <is>
          <t>接种3h后CNGC、CALM/CML、WRKY22/33、FRK基因上调，钙通道激活、Ca2+大量内流，PTI（病原相关分子模式触发的免疫）反应启动；9h时RBOHD激活、ROS积累引发超敏反应，PR、EDS等病程基因激活；但ETI（效应蛋白触发的免疫）相关的R基因在9h内未检测到激活。</t>
        </is>
      </c>
    </row>
    <row r="258">
      <c r="A258" s="2" t="n">
        <v>257</v>
      </c>
      <c r="B258" s="2" t="n">
        <v>53</v>
      </c>
      <c r="C258" s="2" t="inlineStr">
        <is>
          <t>053_2023_Transcriptome analysis reveals key genes involved in the resistance to Cryphonectria parasitica .md</t>
        </is>
      </c>
      <c r="D258" s="2" t="inlineStr">
        <is>
          <t>转录组分析揭示中国板栗早期抗栗疫病的关键基因</t>
        </is>
      </c>
      <c r="E258" s="2" t="inlineStr">
        <is>
          <t>病虫害防治</t>
        </is>
      </c>
      <c r="F258" s="2" t="inlineStr">
        <is>
          <t>病虫害防治</t>
        </is>
      </c>
      <c r="G258" s="2" t="inlineStr">
        <is>
          <t>板栗抗栗疫病的背景与病害现状</t>
        </is>
      </c>
      <c r="H258" s="2" t="inlineStr">
        <is>
          <t>栗疫病1904年首次在美国纽约发现，不到半个世纪毁掉约40亿株美洲栗；东亚栗种（板栗、日本栗、锥栗、茅栗）因与病菌协同进化而普遍抗病，感染后仅形成表层病斑并存活；欧美栗高感病。目前尚无完全免疫资源，近年中国板栗园发病率仍高达60%，南方栗园因管理不当尤其严重。</t>
        </is>
      </c>
    </row>
    <row r="259">
      <c r="A259" s="2" t="n">
        <v>258</v>
      </c>
      <c r="B259" s="2" t="n">
        <v>54</v>
      </c>
      <c r="C259" s="2" t="inlineStr">
        <is>
          <t>054_2023_现代林业技术改良老品种板栗种植技术研究.md</t>
        </is>
      </c>
      <c r="D259" s="2" t="inlineStr">
        <is>
          <t>现代林业技术改良老品种板栗种植技术研究</t>
        </is>
      </c>
      <c r="E259" s="2" t="inlineStr">
        <is>
          <t>栽培与土壤管理</t>
        </is>
      </c>
      <c r="F259" s="2" t="inlineStr">
        <is>
          <t>栽培管理</t>
        </is>
      </c>
      <c r="G259" s="2" t="inlineStr">
        <is>
          <t>板栗园授粉树配置要求</t>
        </is>
      </c>
      <c r="H259" s="2" t="inlineStr">
        <is>
          <t>板栗园授粉树应保持13%以上且品种多样化，可防止雌雄花异熟和自花结实不良造成的减产；经多次试验，用'处暑红'作授粉树授粉效果显著。园地应选远离盐碱地、地下水位低、排水良好的沙质土壤，避开低洼和风口地形。</t>
        </is>
      </c>
    </row>
    <row r="260">
      <c r="A260" s="2" t="n">
        <v>259</v>
      </c>
      <c r="B260" s="2" t="n">
        <v>54</v>
      </c>
      <c r="C260" s="2" t="inlineStr">
        <is>
          <t>054_2023_现代林业技术改良老品种板栗种植技术研究.md</t>
        </is>
      </c>
      <c r="D260" s="2" t="inlineStr">
        <is>
          <t>现代林业技术改良老品种板栗种植技术研究</t>
        </is>
      </c>
      <c r="E260" s="2" t="inlineStr">
        <is>
          <t>栽培与土壤管理</t>
        </is>
      </c>
      <c r="F260" s="2" t="inlineStr">
        <is>
          <t>栽培管理</t>
        </is>
      </c>
      <c r="G260" s="2" t="inlineStr">
        <is>
          <t>板栗栽植密度与间伐</t>
        </is>
      </c>
      <c r="H260" s="2" t="inlineStr">
        <is>
          <t>平原地区板栗园栽植密度约35株/亩，山区约50株/亩；计划密植园可达70-105株/亩，之后逐渐实施隔行隔株砍伐，有助于提高老品种板栗单位面积产量。</t>
        </is>
      </c>
    </row>
    <row r="261">
      <c r="A261" s="2" t="n">
        <v>260</v>
      </c>
      <c r="B261" s="2" t="n">
        <v>54</v>
      </c>
      <c r="C261" s="2" t="inlineStr">
        <is>
          <t>054_2023_现代林业技术改良老品种板栗种植技术研究.md</t>
        </is>
      </c>
      <c r="D261" s="2" t="inlineStr">
        <is>
          <t>现代林业技术改良老品种板栗种植技术研究</t>
        </is>
      </c>
      <c r="E261" s="2" t="inlineStr">
        <is>
          <t>栽培与土壤管理</t>
        </is>
      </c>
      <c r="F261" s="2" t="inlineStr">
        <is>
          <t>土壤肥料</t>
        </is>
      </c>
      <c r="G261" s="2" t="inlineStr">
        <is>
          <t>板栗施肥技术要点（含防空苞）</t>
        </is>
      </c>
      <c r="H261" s="2" t="inlineStr">
        <is>
          <t>秋季施土杂肥基肥最佳（新根发育期，改善土壤保肥保水性）；春季新栽树每株施尿素0.4kg、成龄树2.3kg，7-8月夏季追肥促果实饱满；土壤施肥每株穴（23cm宽19cm长）施过磷酸钙1.2kg+尿素0.4kg+硼砂0.4kg（尿素和硼砂先溶于水），可解决板栗空苞问题；叶色由黄转绿时喷0.4%尿素+0.4%硼砂，采收前30天每隔12天喷0.2%磷酸二氢钾，根外追肥（尿素、磷酸二氢钾、硼砂各0.4%混合）每9天1次、晴天上午9时或傍晚喷施。</t>
        </is>
      </c>
    </row>
    <row r="262">
      <c r="A262" s="2" t="n">
        <v>261</v>
      </c>
      <c r="B262" s="2" t="n">
        <v>54</v>
      </c>
      <c r="C262" s="2" t="inlineStr">
        <is>
          <t>054_2023_现代林业技术改良老品种板栗种植技术研究.md</t>
        </is>
      </c>
      <c r="D262" s="2" t="inlineStr">
        <is>
          <t>现代林业技术改良老品种板栗种植技术研究</t>
        </is>
      </c>
      <c r="E262" s="2" t="inlineStr">
        <is>
          <t>栽培与土壤管理</t>
        </is>
      </c>
      <c r="F262" s="2" t="inlineStr">
        <is>
          <t>栽培管理</t>
        </is>
      </c>
      <c r="G262" s="2" t="inlineStr">
        <is>
          <t>板栗冬夏修剪促花技术</t>
        </is>
      </c>
      <c r="H262" s="2" t="inlineStr">
        <is>
          <t>冬剪（落叶后至发芽前：短截、疏枝、回缩、缓放）可纠正树形并促进雌花形成；夏剪（抹芽、摘心、除雄、疏枝）能增加雌花数量、提高产量；新梢长至32cm时摘心，一年摘心最好3次；除雄时注意保留部分雌花以均衡营养；不同摘心次数的新梢轮痕附近可冬季短截。</t>
        </is>
      </c>
    </row>
    <row r="263">
      <c r="A263" s="2" t="n">
        <v>262</v>
      </c>
      <c r="B263" s="2" t="n">
        <v>54</v>
      </c>
      <c r="C263" s="2" t="inlineStr">
        <is>
          <t>054_2023_现代林业技术改良老品种板栗种植技术研究.md</t>
        </is>
      </c>
      <c r="D263" s="2" t="inlineStr">
        <is>
          <t>现代林业技术改良老品种板栗种植技术研究</t>
        </is>
      </c>
      <c r="E263" s="2" t="inlineStr">
        <is>
          <t>栽培与土壤管理</t>
        </is>
      </c>
      <c r="F263" s="2" t="inlineStr">
        <is>
          <t>繁殖育种</t>
        </is>
      </c>
      <c r="G263" s="2" t="inlineStr">
        <is>
          <t>板栗嫁接换种技术</t>
        </is>
      </c>
      <c r="H263" s="2" t="inlineStr">
        <is>
          <t>板栗嫁接以春季枝接为主，宜在砧木芽萌动至萌发期进行；多用插皮接（皮下接），接穗蜡封，削马耳形削面，插入后用宽3-4cm塑料条绑严；接穗选丰产稳产、无病虫害成年母株树冠外围充实的结果枝；因板枝条含单宁多易氧化变黑，应选晴天快速操作；接后需除萌蘖、绑支架、解绑、摘心和病虫防治。</t>
        </is>
      </c>
    </row>
    <row r="264">
      <c r="A264" s="2" t="n">
        <v>263</v>
      </c>
      <c r="B264" s="2" t="n">
        <v>54</v>
      </c>
      <c r="C264" s="2" t="inlineStr">
        <is>
          <t>054_2023_现代林业技术改良老品种板栗种植技术研究.md</t>
        </is>
      </c>
      <c r="D264" s="2" t="inlineStr">
        <is>
          <t>现代林业技术改良老品种板栗种植技术研究</t>
        </is>
      </c>
      <c r="E264" s="2" t="inlineStr">
        <is>
          <t>栽培与土壤管理</t>
        </is>
      </c>
      <c r="F264" s="2" t="inlineStr">
        <is>
          <t>采收贮藏</t>
        </is>
      </c>
      <c r="G264" s="2" t="inlineStr">
        <is>
          <t>板栗采收与沙藏保鲜</t>
        </is>
      </c>
      <c r="H264" s="2" t="inlineStr">
        <is>
          <t>拾栗法（栗实自然脱落后每天早晚捡拾、随拾随贮藏）果实丰满、产量高、品质佳、耐贮存；打栗法用竹竿从树冠外围分批敲落栗苞、每3天1次。栗苞需'发汗'：阴凉通风处铺约25cm厚、定期浇水，3天内降温后人工脱粒。采后1个月是腐烂危险期；沙藏按栗实:河沙=1:5、堆高35cm、四周围11cm湿沙，前期每4天翻动一次、半月后每7天一次并及时剔除腐烂栗实，保持湿润可安全贮存3个月以上。</t>
        </is>
      </c>
    </row>
    <row r="265">
      <c r="A265" s="2" t="n">
        <v>264</v>
      </c>
      <c r="B265" s="2" t="n">
        <v>55</v>
      </c>
      <c r="C265" s="2" t="inlineStr">
        <is>
          <t>055_2022_Beta-Amylase and Phosphatidic Acid Involved in Recalcitrant Seed Germination of Chinese Chestnut.md</t>
        </is>
      </c>
      <c r="D265" s="2" t="inlineStr">
        <is>
          <t>β-淀粉酶与磷脂酸参与中国板栗顽拗性种子的萌发</t>
        </is>
      </c>
      <c r="E265" s="2" t="inlineStr">
        <is>
          <t>基因组与基因家族</t>
        </is>
      </c>
      <c r="F265" s="2" t="inlineStr">
        <is>
          <t>采收贮藏</t>
        </is>
      </c>
      <c r="G265" s="2" t="inlineStr">
        <is>
          <t>板栗种子的顽拗性特性</t>
        </is>
      </c>
      <c r="H265" s="2" t="inlineStr">
        <is>
          <t>板栗属顽拗性(recalcitrant)种子，在干燥和低温贮藏条件下会迅速丧失萌发力和活力，不能像正常种子那样干藏；这与栗实采后贮藏和育苗采种密切相关，板栗种子育苗须保湿沙藏、不宜风干或长时间低温冷藏。</t>
        </is>
      </c>
    </row>
    <row r="266">
      <c r="A266" s="2" t="n">
        <v>265</v>
      </c>
      <c r="B266" s="2" t="n">
        <v>55</v>
      </c>
      <c r="C266" s="2" t="inlineStr">
        <is>
          <t>055_2022_Beta-Amylase and Phosphatidic Acid Involved in Recalcitrant Seed Germination of Chinese Chestnut.md</t>
        </is>
      </c>
      <c r="D266" s="2" t="inlineStr">
        <is>
          <t>β-淀粉酶与磷脂酸参与中国板栗顽拗性种子的萌发</t>
        </is>
      </c>
      <c r="E266" s="2" t="inlineStr">
        <is>
          <t>基因组与基因家族</t>
        </is>
      </c>
      <c r="F266" s="2" t="inlineStr">
        <is>
          <t>繁殖育种</t>
        </is>
      </c>
      <c r="G266" s="2" t="inlineStr">
        <is>
          <t>栽培种与野生种种子萌发率差异</t>
        </is>
      </c>
      <c r="H266" s="2" t="inlineStr">
        <is>
          <t>栽培板栗（'京暑红'）种子萌发率达89%，显著高于野生板栗的43%（P&lt;0.05）；栽培种胚根96h即伸出（萌发高峰9天），野生种需216h（高峰15天）；栽培种子吸胀前含水量52%高于野生种46%。育苗和生态修复播种宜选用栽培品种种子。</t>
        </is>
      </c>
    </row>
    <row r="267">
      <c r="A267" s="2" t="n">
        <v>266</v>
      </c>
      <c r="B267" s="2" t="n">
        <v>55</v>
      </c>
      <c r="C267" s="2" t="inlineStr">
        <is>
          <t>055_2022_Beta-Amylase and Phosphatidic Acid Involved in Recalcitrant Seed Germination of Chinese Chestnut.md</t>
        </is>
      </c>
      <c r="D267" s="2" t="inlineStr">
        <is>
          <t>β-淀粉酶与磷脂酸参与中国板栗顽拗性种子的萌发</t>
        </is>
      </c>
      <c r="E267" s="2" t="inlineStr">
        <is>
          <t>基因组与基因家族</t>
        </is>
      </c>
      <c r="F267" s="2" t="inlineStr">
        <is>
          <t>基础研究</t>
        </is>
      </c>
      <c r="G267" s="2" t="inlineStr">
        <is>
          <t>ABA与β-淀粉酶调控萌发的分子机制</t>
        </is>
      </c>
      <c r="H267" s="2" t="inlineStr">
        <is>
          <t>栽培种ABA合成基因（ABA2、NCED2/5、NCED3/9、AAO3）在驯化中受强选择且表达下调，内源ABA含量显著降低；β-淀粉酶基因BMY4、BMY7在栽培种萌发期显著高表达，S3期β-淀粉酶活性显著高于野生种（α-淀粉酶无差异）；萌发负调控因子PIL5在野生种高表达，通过激活SOM等基因抑制萌发。</t>
        </is>
      </c>
    </row>
    <row r="268">
      <c r="A268" s="2" t="n">
        <v>267</v>
      </c>
      <c r="B268" s="2" t="n">
        <v>55</v>
      </c>
      <c r="C268" s="2" t="inlineStr">
        <is>
          <t>055_2022_Beta-Amylase and Phosphatidic Acid Involved in Recalcitrant Seed Germination of Chinese Chestnut.md</t>
        </is>
      </c>
      <c r="D268" s="2" t="inlineStr">
        <is>
          <t>β-淀粉酶与磷脂酸参与中国板栗顽拗性种子的萌发</t>
        </is>
      </c>
      <c r="E268" s="2" t="inlineStr">
        <is>
          <t>基因组与基因家族</t>
        </is>
      </c>
      <c r="F268" s="2" t="inlineStr">
        <is>
          <t>基础研究</t>
        </is>
      </c>
      <c r="G268" s="2" t="inlineStr">
        <is>
          <t>磷脂酸与顽拗性种子脱水敏感性</t>
        </is>
      </c>
      <c r="H268" s="2" t="inlineStr">
        <is>
          <t>虽然板栗种子脂类含量仅0.27-0.64%，但磷脂酸合成相关基因（PLD1、GPAT9、LPAT5、ATS1、GPAT2等）在野生与栽培基因组间受强选择，且在野生种萌发期显著高表达；磷脂酸/甘油磷脂代谢与顽拗性种子脱水敏感性和活力丧失密切相关，可能参与板栗种子萌发调控。</t>
        </is>
      </c>
    </row>
    <row r="269">
      <c r="A269" s="2" t="n">
        <v>268</v>
      </c>
      <c r="B269" s="2" t="n">
        <v>55</v>
      </c>
      <c r="C269" s="2" t="inlineStr">
        <is>
          <t>055_2022_Beta-Amylase and Phosphatidic Acid Involved in Recalcitrant Seed Germination of Chinese Chestnut.md</t>
        </is>
      </c>
      <c r="D269" s="2" t="inlineStr">
        <is>
          <t>β-淀粉酶与磷脂酸参与中国板栗顽拗性种子的萌发</t>
        </is>
      </c>
      <c r="E269" s="2" t="inlineStr">
        <is>
          <t>基因组与基因家族</t>
        </is>
      </c>
      <c r="F269" s="2" t="inlineStr">
        <is>
          <t>营养功效</t>
        </is>
      </c>
      <c r="G269" s="2" t="inlineStr">
        <is>
          <t>板栗种子的营养成分构成</t>
        </is>
      </c>
      <c r="H269" s="2" t="inlineStr">
        <is>
          <t>板栗种子（以干重计）含淀粉46-64%、可溶性糖12-22%、脂类仅0.27-0.64%，属典型淀粉型坚果，萌发所需的能量主要由淀粉降解（α-淀粉酶和β-淀粉酶协同）供给。</t>
        </is>
      </c>
    </row>
    <row r="270">
      <c r="A270" s="2" t="n">
        <v>269</v>
      </c>
      <c r="B270" s="2" t="n">
        <v>55</v>
      </c>
      <c r="C270" s="2" t="inlineStr">
        <is>
          <t>055_2022_Beta-Amylase and Phosphatidic Acid Involved in Recalcitrant Seed Germination of Chinese Chestnut.md</t>
        </is>
      </c>
      <c r="D270" s="2" t="inlineStr">
        <is>
          <t>β-淀粉酶与磷脂酸参与中国板栗顽拗性种子的萌发</t>
        </is>
      </c>
      <c r="E270" s="2" t="inlineStr">
        <is>
          <t>基因组与基因家族</t>
        </is>
      </c>
      <c r="F270" s="2" t="inlineStr">
        <is>
          <t>基础研究</t>
        </is>
      </c>
      <c r="G270" s="2" t="inlineStr">
        <is>
          <t>野生板栗基因组与结构变异资源</t>
        </is>
      </c>
      <c r="H270" s="2" t="inlineStr">
        <is>
          <t>研究组装了野生板栗染色体级别基因组V2（Hi-C测序115倍覆盖度，注释33,991个蛋白编码基因），检测到113,524个插入缺失（10-20,094bp，87.7%小于100bp），其中4,892个SVs在驯化中受强烈选择、影响4,673个基因，涉及次生代谢、植物-病原互作、淀粉蔗糖代谢和甘油磷脂代谢通路，数据可通过Castanea Genome Database (www.castaneadb.net)获取。</t>
        </is>
      </c>
    </row>
    <row r="271">
      <c r="A271" s="2" t="n">
        <v>270</v>
      </c>
      <c r="B271" s="2" t="n">
        <v>56</v>
      </c>
      <c r="C271" s="2" t="inlineStr">
        <is>
          <t>056_2022_Effect of boron toxicity on pollen tube cell wall architecture and the relationship of cell wall.md</t>
        </is>
      </c>
      <c r="D271" s="2" t="inlineStr">
        <is>
          <t>硼毒害对板栗花粉管细胞壁架构的影响及细胞壁组分间的关系</t>
        </is>
      </c>
      <c r="E271" s="2" t="inlineStr">
        <is>
          <t>生理与分子机制</t>
        </is>
      </c>
      <c r="F271" s="2" t="inlineStr">
        <is>
          <t>土壤肥料</t>
        </is>
      </c>
      <c r="G271" s="2" t="inlineStr">
        <is>
          <t>硼浓度对板栗花粉萌发的最适窗口</t>
        </is>
      </c>
      <c r="H271" s="2" t="inlineStr">
        <is>
          <t>培养基中不加硼时板栗花粉萌发率为21.89%，添加0.08 mM H3BO3时升至31.60%（最适），0.4 mM降至19.78%，0.8 mM时仅14.57%，说明硼对花粉萌发存在最适浓度窗口，缺乏或过量均抑制萌发</t>
        </is>
      </c>
    </row>
    <row r="272">
      <c r="A272" s="2" t="n">
        <v>271</v>
      </c>
      <c r="B272" s="2" t="n">
        <v>56</v>
      </c>
      <c r="C272" s="2" t="inlineStr">
        <is>
          <t>056_2022_Effect of boron toxicity on pollen tube cell wall architecture and the relationship of cell wall.md</t>
        </is>
      </c>
      <c r="D272" s="2" t="inlineStr">
        <is>
          <t>硼毒害对板栗花粉管细胞壁架构的影响及细胞壁组分间的关系</t>
        </is>
      </c>
      <c r="E272" s="2" t="inlineStr">
        <is>
          <t>生理与分子机制</t>
        </is>
      </c>
      <c r="F272" s="2" t="inlineStr">
        <is>
          <t>栽培管理</t>
        </is>
      </c>
      <c r="G272" s="2" t="inlineStr">
        <is>
          <t>硼毒害导致花粉管顶端膨大畸形</t>
        </is>
      </c>
      <c r="H272" s="2" t="inlineStr">
        <is>
          <t>0.8 mM H3BO3处理27 h后花粉管顶端宽度由对照5.71µm增至20.91µm，管尖严重膨大；虽然花粉管长度差异不显著，但畸形花粉管会导致双受精障碍，最终造成减产</t>
        </is>
      </c>
    </row>
    <row r="273">
      <c r="A273" s="2" t="n">
        <v>272</v>
      </c>
      <c r="B273" s="2" t="n">
        <v>56</v>
      </c>
      <c r="C273" s="2" t="inlineStr">
        <is>
          <t>056_2022_Effect of boron toxicity on pollen tube cell wall architecture and the relationship of cell wall.md</t>
        </is>
      </c>
      <c r="D273" s="2" t="inlineStr">
        <is>
          <t>硼毒害对板栗花粉管细胞壁架构的影响及细胞壁组分间的关系</t>
        </is>
      </c>
      <c r="E273" s="2" t="inlineStr">
        <is>
          <t>生理与分子机制</t>
        </is>
      </c>
      <c r="F273" s="2" t="inlineStr">
        <is>
          <t>基础研究</t>
        </is>
      </c>
      <c r="G273" s="2" t="inlineStr">
        <is>
          <t>正常花粉管壁组分分布模式</t>
        </is>
      </c>
      <c r="H273" s="2" t="inlineStr">
        <is>
          <t>对照花粉管中酯化果胶沿整管均匀分布、酸性果胶集中在远端区、纤维素均匀分布但顶端较少、胼胝质自基部向亚顶端递减且顶端无胼胝质；顶端仅一层纤维壁，管身后部为外壁（纤维果胶层）和内壁（胼胝质层）双层结构</t>
        </is>
      </c>
    </row>
    <row r="274">
      <c r="A274" s="2" t="n">
        <v>273</v>
      </c>
      <c r="B274" s="2" t="n">
        <v>56</v>
      </c>
      <c r="C274" s="2" t="inlineStr">
        <is>
          <t>056_2022_Effect of boron toxicity on pollen tube cell wall architecture and the relationship of cell wall.md</t>
        </is>
      </c>
      <c r="D274" s="2" t="inlineStr">
        <is>
          <t>硼毒害对板栗花粉管细胞壁架构的影响及细胞壁组分间的关系</t>
        </is>
      </c>
      <c r="E274" s="2" t="inlineStr">
        <is>
          <t>生理与分子机制</t>
        </is>
      </c>
      <c r="F274" s="2" t="inlineStr">
        <is>
          <t>基础研究</t>
        </is>
      </c>
      <c r="G274" s="2" t="inlineStr">
        <is>
          <t>硼毒害引起细胞壁组分顶端异位沉积</t>
        </is>
      </c>
      <c r="H274" s="2" t="inlineStr">
        <is>
          <t>硼毒害诱导酯化果胶、酸性果胶、纤维素和胼胝质在花粉管顶端异常积累，顶端出现两层壁、微纤维紊乱、壁增厚，这是管尖膨大的细胞壁结构基础，推测与胞外分泌过度累积有关</t>
        </is>
      </c>
    </row>
    <row r="275">
      <c r="A275" s="2" t="n">
        <v>274</v>
      </c>
      <c r="B275" s="2" t="n">
        <v>56</v>
      </c>
      <c r="C275" s="2" t="inlineStr">
        <is>
          <t>056_2022_Effect of boron toxicity on pollen tube cell wall architecture and the relationship of cell wall.md</t>
        </is>
      </c>
      <c r="D275" s="2" t="inlineStr">
        <is>
          <t>硼毒害对板栗花粉管细胞壁架构的影响及细胞壁组分间的关系</t>
        </is>
      </c>
      <c r="E275" s="2" t="inlineStr">
        <is>
          <t>生理与分子机制</t>
        </is>
      </c>
      <c r="F275" s="2" t="inlineStr">
        <is>
          <t>基础研究</t>
        </is>
      </c>
      <c r="G275" s="2" t="inlineStr">
        <is>
          <t>果胶-纤维素-胼胝质三组分交联关系</t>
        </is>
      </c>
      <c r="H275" s="2" t="inlineStr">
        <is>
          <t>纤维素酶酶解后酯化果胶变为不连续分布，果胶酶酶解后果胶消失且纤维素、胼胝质减少，β-1,3-葡聚糖酶降解胼胝质后果胶消失，FTIR显示各组分化学峰同步下降，证实三组分紧密交联，且果胶与胼胝质的关系可能比纤维素与果胶更密切；硼通过交联果胶RG-II结构参与细胞壁装配</t>
        </is>
      </c>
    </row>
    <row r="276">
      <c r="A276" s="2" t="n">
        <v>275</v>
      </c>
      <c r="B276" s="2" t="n">
        <v>56</v>
      </c>
      <c r="C276" s="2" t="inlineStr">
        <is>
          <t>056_2022_Effect of boron toxicity on pollen tube cell wall architecture and the relationship of cell wall.md</t>
        </is>
      </c>
      <c r="D276" s="2" t="inlineStr">
        <is>
          <t>硼毒害对板栗花粉管细胞壁架构的影响及细胞壁组分间的关系</t>
        </is>
      </c>
      <c r="E276" s="2" t="inlineStr">
        <is>
          <t>生理与分子机制</t>
        </is>
      </c>
      <c r="F276" s="2" t="inlineStr">
        <is>
          <t>栽培管理</t>
        </is>
      </c>
      <c r="G276" s="2" t="inlineStr">
        <is>
          <t>长期喷硼的积累毒害风险</t>
        </is>
      </c>
      <c r="H276" s="2" t="inlineStr">
        <is>
          <t>板栗雌雄花比例达1:2400-4000，雄花消耗大量营养可导致空苞；生产上喷硼酸提高坐果率但用量难控，长期喷施引起硼在植物体内积累产生毒害，通过扰乱花粉管细胞壁组分沉积和超微结构导致减产，应避免长期连续高浓度喷硼</t>
        </is>
      </c>
    </row>
    <row r="277">
      <c r="A277" s="2" t="n">
        <v>276</v>
      </c>
      <c r="B277" s="2" t="n">
        <v>57</v>
      </c>
      <c r="C277" s="2" t="inlineStr">
        <is>
          <t>057_2022_Genetic Diversity and Population Structure of Chinese Chestnut (Castanea mollissima Blume) Culti.md</t>
        </is>
      </c>
      <c r="D277" s="2" t="inlineStr">
        <is>
          <t>基于GBS重测序的中国板栗品种遗传多样性与群体结构分析</t>
        </is>
      </c>
      <c r="E277" s="2" t="inlineStr">
        <is>
          <t>育种与遗传资源</t>
        </is>
      </c>
      <c r="F277" s="2" t="inlineStr">
        <is>
          <t>繁殖育种</t>
        </is>
      </c>
      <c r="G277" s="2" t="inlineStr">
        <is>
          <t>中国板栗种质南北两大遗传群</t>
        </is>
      </c>
      <c r="H277" s="2" t="inlineStr">
        <is>
          <t>基于299,015个SNP的ADMIXTURE分析（K=2）将185份板栗分为以黄河为界的南、北两大群体（北方群67份、南方群118份），PCA和系统进化树结果一致，PC1可解释15.7%的变异并清晰分开两群</t>
        </is>
      </c>
    </row>
    <row r="278">
      <c r="A278" s="2" t="n">
        <v>277</v>
      </c>
      <c r="B278" s="2" t="n">
        <v>57</v>
      </c>
      <c r="C278" s="2" t="inlineStr">
        <is>
          <t>057_2022_Genetic Diversity and Population Structure of Chinese Chestnut (Castanea mollissima Blume) Culti.md</t>
        </is>
      </c>
      <c r="D278" s="2" t="inlineStr">
        <is>
          <t>基于GBS重测序的中国板栗品种遗传多样性与群体结构分析</t>
        </is>
      </c>
      <c r="E278" s="2" t="inlineStr">
        <is>
          <t>育种与遗传资源</t>
        </is>
      </c>
      <c r="F278" s="2" t="inlineStr">
        <is>
          <t>繁殖育种</t>
        </is>
      </c>
      <c r="G278" s="2" t="inlineStr">
        <is>
          <t>各地理区域遗传多样性水平</t>
        </is>
      </c>
      <c r="H278" s="2" t="inlineStr">
        <is>
          <t>5个群体观察杂合度0.2796-0.3427，中西部群体遗传多样性最高（Ho=0.34265）、黄河以北群体最低（Ho=0.27963）；长江流域基因流最高（Nm=3.2154），说明该区域种质交流频繁</t>
        </is>
      </c>
    </row>
    <row r="279">
      <c r="A279" s="2" t="n">
        <v>278</v>
      </c>
      <c r="B279" s="2" t="n">
        <v>57</v>
      </c>
      <c r="C279" s="2" t="inlineStr">
        <is>
          <t>057_2022_Genetic Diversity and Population Structure of Chinese Chestnut (Castanea mollissima Blume) Culti.md</t>
        </is>
      </c>
      <c r="D279" s="2" t="inlineStr">
        <is>
          <t>基于GBS重测序的中国板栗品种遗传多样性与群体结构分析</t>
        </is>
      </c>
      <c r="E279" s="2" t="inlineStr">
        <is>
          <t>育种与遗传资源</t>
        </is>
      </c>
      <c r="F279" s="2" t="inlineStr">
        <is>
          <t>繁殖育种</t>
        </is>
      </c>
      <c r="G279" s="2" t="inlineStr">
        <is>
          <t>遗传变异主要存在于群体内部</t>
        </is>
      </c>
      <c r="H279" s="2" t="inlineStr">
        <is>
          <t>分子方差分析（AMOVA）显示群体间变异仅占2.07%，群体内变异高达97.93%，板栗地方品种群体间分化程度低，品种间差异主要来自个体水平，与前期表型遗传变异研究结果一致</t>
        </is>
      </c>
    </row>
    <row r="280">
      <c r="A280" s="2" t="n">
        <v>279</v>
      </c>
      <c r="B280" s="2" t="n">
        <v>57</v>
      </c>
      <c r="C280" s="2" t="inlineStr">
        <is>
          <t>057_2022_Genetic Diversity and Population Structure of Chinese Chestnut (Castanea mollissima Blume) Culti.md</t>
        </is>
      </c>
      <c r="D280" s="2" t="inlineStr">
        <is>
          <t>基于GBS重测序的中国板栗品种遗传多样性与群体结构分析</t>
        </is>
      </c>
      <c r="E280" s="2" t="inlineStr">
        <is>
          <t>育种与遗传资源</t>
        </is>
      </c>
      <c r="F280" s="2" t="inlineStr">
        <is>
          <t>繁殖育种</t>
        </is>
      </c>
      <c r="G280" s="2" t="inlineStr">
        <is>
          <t>人为活动塑造板栗分布格局</t>
        </is>
      </c>
      <c r="H280" s="2" t="inlineStr">
        <is>
          <t>山东和北京的部分样本在遗传上不属于所在地理群（离群个体），推测与汉、唐、宋时期战乱引发北方人口南迁并携带板栗南下、以及京冀（燕山生态型）作为政治经济中心的种质流通有关；板栗种子顽拗性强（难萌发、寿命短），自然条件下主要靠鸟兽传播，长距离扩散依赖人为活动</t>
        </is>
      </c>
    </row>
    <row r="281">
      <c r="A281" s="2" t="n">
        <v>280</v>
      </c>
      <c r="B281" s="2" t="n">
        <v>57</v>
      </c>
      <c r="C281" s="2" t="inlineStr">
        <is>
          <t>057_2022_Genetic Diversity and Population Structure of Chinese Chestnut (Castanea mollissima Blume) Culti.md</t>
        </is>
      </c>
      <c r="D281" s="2" t="inlineStr">
        <is>
          <t>基于GBS重测序的中国板栗品种遗传多样性与群体结构分析</t>
        </is>
      </c>
      <c r="E281" s="2" t="inlineStr">
        <is>
          <t>育种与遗传资源</t>
        </is>
      </c>
      <c r="F281" s="2" t="inlineStr">
        <is>
          <t>繁殖育种</t>
        </is>
      </c>
      <c r="G281" s="2" t="inlineStr">
        <is>
          <t>高质量SNP资源与变异类型</t>
        </is>
      </c>
      <c r="H281" s="2" t="inlineStr">
        <is>
          <t>GBS测序获得299,015个高质量SNP（过滤条件：深度≥2、缺失率≤0.2、最小等位基因频率≥0.01），其中3,800个为外显子非同义突变、209个终止密码子获得突变，转换/颠换比2.163，可用于全基因组关联分析和分子标记开发</t>
        </is>
      </c>
    </row>
    <row r="282">
      <c r="A282" s="2" t="n">
        <v>281</v>
      </c>
      <c r="B282" s="2" t="n">
        <v>58</v>
      </c>
      <c r="C282" s="2" t="inlineStr">
        <is>
          <t>058_2022_Genome-Wide Identification of the CER Gene Family and Significant Features in Climate Adaptation.md</t>
        </is>
      </c>
      <c r="D282" s="2" t="inlineStr">
        <is>
          <t>板栗CER基因家族全基因组鉴定及其气候适应性显著特征</t>
        </is>
      </c>
      <c r="E282" s="2" t="inlineStr">
        <is>
          <t>基因组与基因家族</t>
        </is>
      </c>
      <c r="F282" s="2" t="inlineStr">
        <is>
          <t>品种选择</t>
        </is>
      </c>
      <c r="G282" s="2" t="inlineStr">
        <is>
          <t>板栗叶片蜡质层厚度南北差异</t>
        </is>
      </c>
      <c r="H282" s="2" t="inlineStr">
        <is>
          <t>北方野生板栗叶片表皮蜡质层极显著厚于南方（p&lt;0.0001），甘肃样本蜡质层厚度为浙江天目山样本的2.56倍，蜡质层增厚是板栗对北方干旱寒冷环境的适应特征</t>
        </is>
      </c>
    </row>
    <row r="283">
      <c r="A283" s="2" t="n">
        <v>282</v>
      </c>
      <c r="B283" s="2" t="n">
        <v>58</v>
      </c>
      <c r="C283" s="2" t="inlineStr">
        <is>
          <t>058_2022_Genome-Wide Identification of the CER Gene Family and Significant Features in Climate Adaptation.md</t>
        </is>
      </c>
      <c r="D283" s="2" t="inlineStr">
        <is>
          <t>板栗CER基因家族全基因组鉴定及其气候适应性显著特征</t>
        </is>
      </c>
      <c r="E283" s="2" t="inlineStr">
        <is>
          <t>基因组与基因家族</t>
        </is>
      </c>
      <c r="F283" s="2" t="inlineStr">
        <is>
          <t>繁殖育种</t>
        </is>
      </c>
      <c r="G283" s="2" t="inlineStr">
        <is>
          <t>蜡质层厚度可作抗旱种质筛选指标</t>
        </is>
      </c>
      <c r="H283" s="2" t="inlineStr">
        <is>
          <t>表皮蜡质含量与植物抗旱性相关，可作抗旱种质筛选重要指标（参照黄连木等研究）；北京、溧阳两资源圃品种比较显示北方品种蜡质层显著厚于南方品种（p&lt;0.01），同一品种在北方栽培时蜡质层也增厚</t>
        </is>
      </c>
    </row>
    <row r="284">
      <c r="A284" s="2" t="n">
        <v>283</v>
      </c>
      <c r="B284" s="2" t="n">
        <v>58</v>
      </c>
      <c r="C284" s="2" t="inlineStr">
        <is>
          <t>058_2022_Genome-Wide Identification of the CER Gene Family and Significant Features in Climate Adaptation.md</t>
        </is>
      </c>
      <c r="D284" s="2" t="inlineStr">
        <is>
          <t>板栗CER基因家族全基因组鉴定及其气候适应性显著特征</t>
        </is>
      </c>
      <c r="E284" s="2" t="inlineStr">
        <is>
          <t>基因组与基因家族</t>
        </is>
      </c>
      <c r="F284" s="2" t="inlineStr">
        <is>
          <t>繁殖育种</t>
        </is>
      </c>
      <c r="G284" s="2" t="inlineStr">
        <is>
          <t>CER基因参与板栗南北气候适应</t>
        </is>
      </c>
      <c r="H284" s="2" t="inlineStr">
        <is>
          <t>全基因组选择清除分析发现CmCER1-1、CmCER1-5、CmCER3在甘肃（西北）与天目山（东南）野生群体间显著遗传分化；湖北野生Y-2嫁接到北京一年后，三基因表达量显著高于湖北南方植株（p&lt;0.05或p&lt;0.01），说明北方干旱环境可诱导CER表达、促进蜡质合成</t>
        </is>
      </c>
    </row>
    <row r="285">
      <c r="A285" s="2" t="n">
        <v>284</v>
      </c>
      <c r="B285" s="2" t="n">
        <v>58</v>
      </c>
      <c r="C285" s="2" t="inlineStr">
        <is>
          <t>058_2022_Genome-Wide Identification of the CER Gene Family and Significant Features in Climate Adaptation.md</t>
        </is>
      </c>
      <c r="D285" s="2" t="inlineStr">
        <is>
          <t>板栗CER基因家族全基因组鉴定及其气候适应性显著特征</t>
        </is>
      </c>
      <c r="E285" s="2" t="inlineStr">
        <is>
          <t>基因组与基因家族</t>
        </is>
      </c>
      <c r="F285" s="2" t="inlineStr">
        <is>
          <t>基础研究</t>
        </is>
      </c>
      <c r="G285" s="2" t="inlineStr">
        <is>
          <t>板栗CER基因家族规模与结构特征</t>
        </is>
      </c>
      <c r="H285" s="2" t="inlineStr">
        <is>
          <t>板栗基因组含34个CmCER基因（拟南芥17个），分5个进化枝，CmCER1与CmCER60明显扩增（可能与串联和分散重复有关）；基因不均布于12条染色体（3、7、10号各5个，4号无），34个基因均含光响应元件，12个含逆境防御元件、12个含低温响应元件、22个含MYB结合位点</t>
        </is>
      </c>
    </row>
    <row r="286">
      <c r="A286" s="2" t="n">
        <v>285</v>
      </c>
      <c r="B286" s="2" t="n">
        <v>58</v>
      </c>
      <c r="C286" s="2" t="inlineStr">
        <is>
          <t>058_2022_Genome-Wide Identification of the CER Gene Family and Significant Features in Climate Adaptation.md</t>
        </is>
      </c>
      <c r="D286" s="2" t="inlineStr">
        <is>
          <t>板栗CER基因家族全基因组鉴定及其气候适应性显著特征</t>
        </is>
      </c>
      <c r="E286" s="2" t="inlineStr">
        <is>
          <t>基因组与基因家族</t>
        </is>
      </c>
      <c r="F286" s="2" t="inlineStr">
        <is>
          <t>基础研究</t>
        </is>
      </c>
      <c r="G286" s="2" t="inlineStr">
        <is>
          <t>干旱诱导CmCER基因表达模式</t>
        </is>
      </c>
      <c r="H286" s="2" t="inlineStr">
        <is>
          <t>干旱处理板栗幼苗0-12 h（离体脱水），32个CmCER基因被激活，表达模式分三类：12个持续上调、12个先升后降、8个持续下调，多数基因随干旱时间延长表达上调，表明CER基因广泛参与板栗干旱应答</t>
        </is>
      </c>
    </row>
    <row r="287">
      <c r="A287" s="2" t="n">
        <v>286</v>
      </c>
      <c r="B287" s="2" t="n">
        <v>59</v>
      </c>
      <c r="C287" s="2" t="inlineStr">
        <is>
          <t>059_2022_Genome-wide identification, evolutionary, and expression analyses of the PP2C gene family in Cas.md</t>
        </is>
      </c>
      <c r="D287" s="2" t="inlineStr">
        <is>
          <t>板栗PP2C基因家族全基因组鉴定、进化与表达分析</t>
        </is>
      </c>
      <c r="E287" s="2" t="inlineStr">
        <is>
          <t>基因组与基因家族</t>
        </is>
      </c>
      <c r="F287" s="2" t="inlineStr">
        <is>
          <t>基础研究</t>
        </is>
      </c>
      <c r="G287" s="2" t="inlineStr">
        <is>
          <t>板栗PP2C基因家族数量与基本特征</t>
        </is>
      </c>
      <c r="H287" s="2" t="inlineStr">
        <is>
          <t>板栗基因组含68个PP2C基因（CmPP2C01-68），编码186-1079个氨基酸、分子量20.31-119.40 kDa、等电点4.66-9.30的蛋白，分布于全部12条染色体，1号染色体最多（12个）、8号染色体8个</t>
        </is>
      </c>
    </row>
    <row r="288">
      <c r="A288" s="2" t="n">
        <v>287</v>
      </c>
      <c r="B288" s="2" t="n">
        <v>59</v>
      </c>
      <c r="C288" s="2" t="inlineStr">
        <is>
          <t>059_2022_Genome-wide identification, evolutionary, and expression analyses of the PP2C gene family in Cas.md</t>
        </is>
      </c>
      <c r="D288" s="2" t="inlineStr">
        <is>
          <t>板栗PP2C基因家族全基因组鉴定、进化与表达分析</t>
        </is>
      </c>
      <c r="E288" s="2" t="inlineStr">
        <is>
          <t>基因组与基因家族</t>
        </is>
      </c>
      <c r="F288" s="2" t="inlineStr">
        <is>
          <t>基础研究</t>
        </is>
      </c>
      <c r="G288" s="2" t="inlineStr">
        <is>
          <t>PP2C基因与逆境和激素响应</t>
        </is>
      </c>
      <c r="H288" s="2" t="inlineStr">
        <is>
          <t>CmPP2C启动子区共758个顺式作用元件，光响应元件占43%，并含干旱（MBS、CCAAT-box）、低温（LTR）、厌氧诱导（ARE）、防御响应（TC-rich repeats）、水杨酸（TCA）以及ABA（ABRE）、茉莉酸甲酯、生长素、赤霉素等响应元件；A亚群含胁迫相关元件最多（46个，含12个ABRE），提示A亚群PP2C在板栗ABA信号转导与抗旱中起关键作用</t>
        </is>
      </c>
    </row>
    <row r="289">
      <c r="A289" s="2" t="n">
        <v>288</v>
      </c>
      <c r="B289" s="2" t="n">
        <v>59</v>
      </c>
      <c r="C289" s="2" t="inlineStr">
        <is>
          <t>059_2022_Genome-wide identification, evolutionary, and expression analyses of the PP2C gene family in Cas.md</t>
        </is>
      </c>
      <c r="D289" s="2" t="inlineStr">
        <is>
          <t>板栗PP2C基因家族全基因组鉴定、进化与表达分析</t>
        </is>
      </c>
      <c r="E289" s="2" t="inlineStr">
        <is>
          <t>基因组与基因家族</t>
        </is>
      </c>
      <c r="F289" s="2" t="inlineStr">
        <is>
          <t>繁殖育种</t>
        </is>
      </c>
      <c r="G289" s="2" t="inlineStr">
        <is>
          <t>CmPP2C22与种子发育及非生物胁迫</t>
        </is>
      </c>
      <c r="H289" s="2" t="inlineStr">
        <is>
          <t>CmPP2C22在'燕龙'授粉后82天（Nut_S2）种子中表达量显著高于70天（Nut_S1），与种子发育密切相关；其启动子含ARE、CAT-box、TCA、CGTCA、TGACG、MBS（干旱）、ABRE等多个非生物胁迫响应元件，是响应种子发育与多种逆境的关键候选基因</t>
        </is>
      </c>
    </row>
    <row r="290">
      <c r="A290" s="2" t="n">
        <v>289</v>
      </c>
      <c r="B290" s="2" t="n">
        <v>59</v>
      </c>
      <c r="C290" s="2" t="inlineStr">
        <is>
          <t>059_2022_Genome-wide identification, evolutionary, and expression analyses of the PP2C gene family in Cas.md</t>
        </is>
      </c>
      <c r="D290" s="2" t="inlineStr">
        <is>
          <t>板栗PP2C基因家族全基因组鉴定、进化与表达分析</t>
        </is>
      </c>
      <c r="E290" s="2" t="inlineStr">
        <is>
          <t>基因组与基因家族</t>
        </is>
      </c>
      <c r="F290" s="2" t="inlineStr">
        <is>
          <t>基础研究</t>
        </is>
      </c>
      <c r="G290" s="2" t="inlineStr">
        <is>
          <t>CmPP2C组织特异性表达</t>
        </is>
      </c>
      <c r="H290" s="2" t="inlineStr">
        <is>
          <t>CmPP2C05、18、31、64在种子中表达显著高于叶片，17个基因在叶片中表达高于种子，CmPP2C02、10、45、49、50为叶片特异表达，CmPP2C65和CmPP2C44在检测组织中不表达，说明PP2C基因在板栗不同器官发育中分工明确</t>
        </is>
      </c>
    </row>
    <row r="291">
      <c r="A291" s="2" t="n">
        <v>290</v>
      </c>
      <c r="B291" s="2" t="n">
        <v>59</v>
      </c>
      <c r="C291" s="2" t="inlineStr">
        <is>
          <t>059_2022_Genome-wide identification, evolutionary, and expression analyses of the PP2C gene family in Cas.md</t>
        </is>
      </c>
      <c r="D291" s="2" t="inlineStr">
        <is>
          <t>板栗PP2C基因家族全基因组鉴定、进化与表达分析</t>
        </is>
      </c>
      <c r="E291" s="2" t="inlineStr">
        <is>
          <t>基因组与基因家族</t>
        </is>
      </c>
      <c r="F291" s="2" t="inlineStr">
        <is>
          <t>基础研究</t>
        </is>
      </c>
      <c r="G291" s="2" t="inlineStr">
        <is>
          <t>PP2C家族扩增与进化机制</t>
        </is>
      </c>
      <c r="H291" s="2" t="inlineStr">
        <is>
          <t>15对CmPP2C基因存在全基因组/片段重复（WGD-SD），CmPP2C64与CmPP2C65同在12号染色体且相距仅8039 bp，为串联重复；重复基因对分化时间为6.18-67.86百万年前，其中5对（分化时间9.50-11.65 MYa）Ka/Ks&gt;1受正选择，全基因组重复和串联重复共同驱动了家族扩增</t>
        </is>
      </c>
    </row>
    <row r="292">
      <c r="A292" s="2" t="n">
        <v>291</v>
      </c>
      <c r="B292" s="2" t="n">
        <v>60</v>
      </c>
      <c r="C292" s="2" t="inlineStr">
        <is>
          <t>060_2022_Pan-genome analysis of three main Chinese chestnut varieties.md</t>
        </is>
      </c>
      <c r="D292" s="2" t="inlineStr">
        <is>
          <t>三个主栽板栗品种的泛基因组分析</t>
        </is>
      </c>
      <c r="E292" s="2" t="inlineStr">
        <is>
          <t>基因组与基因家族</t>
        </is>
      </c>
      <c r="F292" s="2" t="inlineStr">
        <is>
          <t>品种选择</t>
        </is>
      </c>
      <c r="G292" s="2" t="inlineStr">
        <is>
          <t>三个主栽板栗品种特性与育种价值</t>
        </is>
      </c>
      <c r="H292" s="2" t="inlineStr">
        <is>
          <t>黑山寨7号（H7）为抗旱、极短雄花序品种（短雄花序显著减少雄花数量，节省营养和水分、提高抗旱性，并据此获得'开放授粉'分子育种发明专利）；燕红（YH）为耐重度回缩修剪品种（重剪后仍能保持结果枝数量）；燕山早生（ZS）为早熟品种（比另两个品种果实早熟约1个月），三者是聚合选育早熟、抗旱、易修剪品种的核心亲本</t>
        </is>
      </c>
    </row>
    <row r="293">
      <c r="A293" s="2" t="n">
        <v>292</v>
      </c>
      <c r="B293" s="2" t="n">
        <v>60</v>
      </c>
      <c r="C293" s="2" t="inlineStr">
        <is>
          <t>060_2022_Pan-genome analysis of three main Chinese chestnut varieties.md</t>
        </is>
      </c>
      <c r="D293" s="2" t="inlineStr">
        <is>
          <t>三个主栽板栗品种的泛基因组分析</t>
        </is>
      </c>
      <c r="E293" s="2" t="inlineStr">
        <is>
          <t>基因组与基因家族</t>
        </is>
      </c>
      <c r="F293" s="2" t="inlineStr">
        <is>
          <t>加工利用</t>
        </is>
      </c>
      <c r="G293" s="2" t="inlineStr">
        <is>
          <t>板栗糯性与GBSS II基因家族扩增</t>
        </is>
      </c>
      <c r="H293" s="2" t="inlineStr">
        <is>
          <t>板栗淀粉占干物质50-80%，支链淀粉占总淀粉67-82%（约为直链淀粉的2-5倍），糯性是重要食用品质且随基因型和产地变化；板栗GBSS II-b蜡质基因家族相对最近缘种发生扩增，8号染色体14 kb区间存在2个串联重复成员，与板栗高糯性品质的形成相关</t>
        </is>
      </c>
    </row>
    <row r="294">
      <c r="A294" s="2" t="n">
        <v>293</v>
      </c>
      <c r="B294" s="2" t="n">
        <v>60</v>
      </c>
      <c r="C294" s="2" t="inlineStr">
        <is>
          <t>060_2022_Pan-genome analysis of three main Chinese chestnut varieties.md</t>
        </is>
      </c>
      <c r="D294" s="2" t="inlineStr">
        <is>
          <t>三个主栽板栗品种的泛基因组分析</t>
        </is>
      </c>
      <c r="E294" s="2" t="inlineStr">
        <is>
          <t>基因组与基因家族</t>
        </is>
      </c>
      <c r="F294" s="2" t="inlineStr">
        <is>
          <t>繁殖育种</t>
        </is>
      </c>
      <c r="G294" s="2" t="inlineStr">
        <is>
          <t>板栗泛基因组与品种特有基因</t>
        </is>
      </c>
      <c r="H294" s="2" t="inlineStr">
        <is>
          <t>三品种泛基因组分析鉴定出H7、YH、ZS分别含159、131、91个特有基因家族，PAV分析显示三者分别含2,364、2,232、1,475个特有基因，三品种共享13,248个单拷贝直系同源基因；单一参考基因组不能代表板栗种内遗传多样性，资源丰富度超过300个栽培品种</t>
        </is>
      </c>
    </row>
    <row r="295">
      <c r="A295" s="2" t="n">
        <v>294</v>
      </c>
      <c r="B295" s="2" t="n">
        <v>60</v>
      </c>
      <c r="C295" s="2" t="inlineStr">
        <is>
          <t>060_2022_Pan-genome analysis of three main Chinese chestnut varieties.md</t>
        </is>
      </c>
      <c r="D295" s="2" t="inlineStr">
        <is>
          <t>三个主栽板栗品种的泛基因组分析</t>
        </is>
      </c>
      <c r="E295" s="2" t="inlineStr">
        <is>
          <t>基因组与基因家族</t>
        </is>
      </c>
      <c r="F295" s="2" t="inlineStr">
        <is>
          <t>基础研究</t>
        </is>
      </c>
      <c r="G295" s="2" t="inlineStr">
        <is>
          <t>早熟品种基因组更大</t>
        </is>
      </c>
      <c r="H295" s="2" t="inlineStr">
        <is>
          <t>早熟品种燕山早生（ZS）基因组790.99 Mb，比燕红和黑山寨7号（671.99/678.90 Mb）大约100 Mb，12条染色体均更大（2、4、5、8号最明显），部分YH和H7的片段共同组成ZS的染色体区段，但基因组大小与果实早熟性的直接关系尚无证据</t>
        </is>
      </c>
    </row>
    <row r="296">
      <c r="A296" s="2" t="n">
        <v>295</v>
      </c>
      <c r="B296" s="2" t="n">
        <v>60</v>
      </c>
      <c r="C296" s="2" t="inlineStr">
        <is>
          <t>060_2022_Pan-genome analysis of three main Chinese chestnut varieties.md</t>
        </is>
      </c>
      <c r="D296" s="2" t="inlineStr">
        <is>
          <t>三个主栽板栗品种的泛基因组分析</t>
        </is>
      </c>
      <c r="E296" s="2" t="inlineStr">
        <is>
          <t>基因组与基因家族</t>
        </is>
      </c>
      <c r="F296" s="2" t="inlineStr">
        <is>
          <t>繁殖育种</t>
        </is>
      </c>
      <c r="G296" s="2" t="inlineStr">
        <is>
          <t>板栗基因组数据库与聚合育种策略</t>
        </is>
      </c>
      <c r="H296" s="2" t="inlineStr">
        <is>
          <t>建成板栗基因组数据库（chestnutgenome.cn），收录H7、YH、ZS、N11-1四套基因组，提供JBrowse基因组浏览、BLAST序列检索和引物设计工具；提出利用H7、YH、ZS相互杂交并结合'开放授粉'分子育种体系，选择含至少两个品种特有基因的杂交果实进行聚合育种、淘汰不含特有基因的果实，加速早熟、抗旱、易修剪新品种选育</t>
        </is>
      </c>
    </row>
    <row r="297">
      <c r="A297" s="2" t="n">
        <v>296</v>
      </c>
      <c r="B297" s="2" t="n">
        <v>61</v>
      </c>
      <c r="C297" s="2" t="inlineStr">
        <is>
          <t>061_2022_Transcriptomics and Antioxidant Analysis of Two Chinese Chestnut (Castanea mollissima BL.) Varie.md</t>
        </is>
      </c>
      <c r="D297" s="2" t="inlineStr">
        <is>
          <t>两个中国板栗品种的转录组与抗氧化分析为栗瘿蜂抗性机制提供新见解</t>
        </is>
      </c>
      <c r="E297" s="2" t="inlineStr">
        <is>
          <t>病虫害防治</t>
        </is>
      </c>
      <c r="F297" s="2" t="inlineStr">
        <is>
          <t>品种选择</t>
        </is>
      </c>
      <c r="G297" s="2" t="inlineStr">
        <is>
          <t>栗瘿蜂抗性品种差异</t>
        </is>
      </c>
      <c r="H297" s="2" t="inlineStr">
        <is>
          <t>板栗品种'书河无影栗'(SW)对栗瘿蜂具有部分抗性，每树平均虫瘿数仅为感虫品种'红栗'(HL)的约1/7.5，且虫瘿更小、各发育期难以察觉，可作为抗虫育种亲本</t>
        </is>
      </c>
    </row>
    <row r="298">
      <c r="A298" s="2" t="n">
        <v>297</v>
      </c>
      <c r="B298" s="2" t="n">
        <v>61</v>
      </c>
      <c r="C298" s="2" t="inlineStr">
        <is>
          <t>061_2022_Transcriptomics and Antioxidant Analysis of Two Chinese Chestnut (Castanea mollissima BL.) Varie.md</t>
        </is>
      </c>
      <c r="D298" s="2" t="inlineStr">
        <is>
          <t>两个中国板栗品种的转录组与抗氧化分析为栗瘿蜂抗性机制提供新见解</t>
        </is>
      </c>
      <c r="E298" s="2" t="inlineStr">
        <is>
          <t>病虫害防治</t>
        </is>
      </c>
      <c r="F298" s="2" t="inlineStr">
        <is>
          <t>病虫害防治</t>
        </is>
      </c>
      <c r="G298" s="2" t="inlineStr">
        <is>
          <t>抗氧化酶系统与抗虫性的关系</t>
        </is>
      </c>
      <c r="H298" s="2" t="inlineStr">
        <is>
          <t>抗性品种SW芽中H2O2含量（最高42.7 nmol/g FW）及POD、SOD活性在侵染生长和成熟期显著高于感虫品种HL，而CAT和PPO活性在感虫品种中更高；强抗氧化清除能力与虫瘿抗性正相关</t>
        </is>
      </c>
    </row>
    <row r="299">
      <c r="A299" s="2" t="n">
        <v>298</v>
      </c>
      <c r="B299" s="2" t="n">
        <v>61</v>
      </c>
      <c r="C299" s="2" t="inlineStr">
        <is>
          <t>061_2022_Transcriptomics and Antioxidant Analysis of Two Chinese Chestnut (Castanea mollissima BL.) Varie.md</t>
        </is>
      </c>
      <c r="D299" s="2" t="inlineStr">
        <is>
          <t>两个中国板栗品种的转录组与抗氧化分析为栗瘿蜂抗性机制提供新见解</t>
        </is>
      </c>
      <c r="E299" s="2" t="inlineStr">
        <is>
          <t>病虫害防治</t>
        </is>
      </c>
      <c r="F299" s="2" t="inlineStr">
        <is>
          <t>病虫害防治</t>
        </is>
      </c>
      <c r="G299" s="2" t="inlineStr">
        <is>
          <t>抗虫响应的信号通路</t>
        </is>
      </c>
      <c r="H299" s="2" t="inlineStr">
        <is>
          <t>比较转录组鉴定12793个差异基因，植物激素信号转导与MAPK信号通路在三个侵染时期均最显著富集，过氧化物酶体通路在生长和成熟期富集；JA信号通路中5个TIFY蛋白在抗性品种中高表达，提示茉莉酸途径参与抗瘿蜂防御</t>
        </is>
      </c>
    </row>
    <row r="300">
      <c r="A300" s="2" t="n">
        <v>299</v>
      </c>
      <c r="B300" s="2" t="n">
        <v>61</v>
      </c>
      <c r="C300" s="2" t="inlineStr">
        <is>
          <t>061_2022_Transcriptomics and Antioxidant Analysis of Two Chinese Chestnut (Castanea mollissima BL.) Varie.md</t>
        </is>
      </c>
      <c r="D300" s="2" t="inlineStr">
        <is>
          <t>两个中国板栗品种的转录组与抗氧化分析为栗瘿蜂抗性机制提供新见解</t>
        </is>
      </c>
      <c r="E300" s="2" t="inlineStr">
        <is>
          <t>病虫害防治</t>
        </is>
      </c>
      <c r="F300" s="2" t="inlineStr">
        <is>
          <t>繁殖育种</t>
        </is>
      </c>
      <c r="G300" s="2" t="inlineStr">
        <is>
          <t>抗虫候选转录因子</t>
        </is>
      </c>
      <c r="H300" s="2" t="inlineStr">
        <is>
          <t>WGCNA分析发现bHLH、WRKY、NAC、MYB转录因子家族与POD通路基因表达正相关，筛选出CmbHLH130、CmWRKY31、CmNAC50、CmPHL12等候选抗虫调控因子，为抗瘿蜂板栗分子辅助育种提供靶点</t>
        </is>
      </c>
    </row>
    <row r="301">
      <c r="A301" s="2" t="n">
        <v>300</v>
      </c>
      <c r="B301" s="2" t="n">
        <v>61</v>
      </c>
      <c r="C301" s="2" t="inlineStr">
        <is>
          <t>061_2022_Transcriptomics and Antioxidant Analysis of Two Chinese Chestnut (Castanea mollissima BL.) Varie.md</t>
        </is>
      </c>
      <c r="D301" s="2" t="inlineStr">
        <is>
          <t>两个中国板栗品种的转录组与抗氧化分析为栗瘿蜂抗性机制提供新见解</t>
        </is>
      </c>
      <c r="E301" s="2" t="inlineStr">
        <is>
          <t>病虫害防治</t>
        </is>
      </c>
      <c r="F301" s="2" t="inlineStr">
        <is>
          <t>基础研究</t>
        </is>
      </c>
      <c r="G301" s="2" t="inlineStr">
        <is>
          <t>萜类挥发性物质的诱导防御</t>
        </is>
      </c>
      <c r="H301" s="2" t="inlineStr">
        <is>
          <t>栗瘿蜂取食显著诱导萜类合酶(TPS)基因：α-法尼烯合酶基因EVM0000042在感虫品种萌发初期高8倍表达，2个橙花叔醇合酶基因在两品种中受诱导3-12倍，法尼烯和橙花叔醇均为已报道的植食性昆虫防御相关物质</t>
        </is>
      </c>
    </row>
    <row r="302">
      <c r="A302" s="2" t="n">
        <v>301</v>
      </c>
      <c r="B302" s="2" t="n">
        <v>62</v>
      </c>
      <c r="C302" s="2" t="inlineStr">
        <is>
          <t>062_2022_Transcriptomics Integrated with Changes in Cell Wall Material of Chestnut (Castanea mollissima B.md</t>
        </is>
      </c>
      <c r="D302" s="2" t="inlineStr">
        <is>
          <t>板栗贮藏期间细胞壁物质变化与转录组联合分析揭示'钙化'过程新机制</t>
        </is>
      </c>
      <c r="E302" s="2" t="inlineStr">
        <is>
          <t>加工与贮藏</t>
        </is>
      </c>
      <c r="F302" s="2" t="inlineStr">
        <is>
          <t>采收贮藏</t>
        </is>
      </c>
      <c r="G302" s="2" t="inlineStr">
        <is>
          <t>板栗钙化与失水的关系</t>
        </is>
      </c>
      <c r="H302" s="2" t="inlineStr">
        <is>
          <t>板栗'钙化'（栗仁变白变硬失去食用价值）程度与含水量呈显著负相关(r=-0.961)；室温20-25℃、相对湿度50-60%下贮藏20天含水量从45%降至19%，47天完全钙化时含水量仅11%</t>
        </is>
      </c>
    </row>
    <row r="303">
      <c r="A303" s="2" t="n">
        <v>302</v>
      </c>
      <c r="B303" s="2" t="n">
        <v>62</v>
      </c>
      <c r="C303" s="2" t="inlineStr">
        <is>
          <t>062_2022_Transcriptomics Integrated with Changes in Cell Wall Material of Chestnut (Castanea mollissima B.md</t>
        </is>
      </c>
      <c r="D303" s="2" t="inlineStr">
        <is>
          <t>板栗贮藏期间细胞壁物质变化与转录组联合分析揭示'钙化'过程新机制</t>
        </is>
      </c>
      <c r="E303" s="2" t="inlineStr">
        <is>
          <t>加工与贮藏</t>
        </is>
      </c>
      <c r="F303" s="2" t="inlineStr">
        <is>
          <t>采收贮藏</t>
        </is>
      </c>
      <c r="G303" s="2" t="inlineStr">
        <is>
          <t>延缓钙化的关键措施</t>
        </is>
      </c>
      <c r="H303" s="2" t="inlineStr">
        <is>
          <t>板栗脱水是钙化的主要原因，控制贮藏期间水分散失可有效延缓钙化进程促进保鲜；低湿快速失水还会诱导细胞膜脂氧化加剧钙化，因此应避免高温低湿的贮藏环境</t>
        </is>
      </c>
    </row>
    <row r="304">
      <c r="A304" s="2" t="n">
        <v>303</v>
      </c>
      <c r="B304" s="2" t="n">
        <v>62</v>
      </c>
      <c r="C304" s="2" t="inlineStr">
        <is>
          <t>062_2022_Transcriptomics Integrated with Changes in Cell Wall Material of Chestnut (Castanea mollissima B.md</t>
        </is>
      </c>
      <c r="D304" s="2" t="inlineStr">
        <is>
          <t>板栗贮藏期间细胞壁物质变化与转录组联合分析揭示'钙化'过程新机制</t>
        </is>
      </c>
      <c r="E304" s="2" t="inlineStr">
        <is>
          <t>加工与贮藏</t>
        </is>
      </c>
      <c r="F304" s="2" t="inlineStr">
        <is>
          <t>采收贮藏</t>
        </is>
      </c>
      <c r="G304" s="2" t="inlineStr">
        <is>
          <t>钙化过程中细胞壁物质变化</t>
        </is>
      </c>
      <c r="H304" s="2" t="inlineStr">
        <is>
          <t>100%钙化栗仁细胞壁物质(CWM)达506.9 g/kg，为新鲜栗仁(96.2 g/kg)的5.3倍；纤维素在50%钙化时达峰值52.6 g/kg，木质素在25%钙化时最高46.9 g/kg、50%钙化时最低18.3 g/kg，水溶性果胶增加35%</t>
        </is>
      </c>
    </row>
    <row r="305">
      <c r="A305" s="2" t="n">
        <v>304</v>
      </c>
      <c r="B305" s="2" t="n">
        <v>62</v>
      </c>
      <c r="C305" s="2" t="inlineStr">
        <is>
          <t>062_2022_Transcriptomics Integrated with Changes in Cell Wall Material of Chestnut (Castanea mollissima B.md</t>
        </is>
      </c>
      <c r="D305" s="2" t="inlineStr">
        <is>
          <t>板栗贮藏期间细胞壁物质变化与转录组联合分析揭示'钙化'过程新机制</t>
        </is>
      </c>
      <c r="E305" s="2" t="inlineStr">
        <is>
          <t>加工与贮藏</t>
        </is>
      </c>
      <c r="F305" s="2" t="inlineStr">
        <is>
          <t>采收贮藏</t>
        </is>
      </c>
      <c r="G305" s="2" t="inlineStr">
        <is>
          <t>50%钙化的关键节点</t>
        </is>
      </c>
      <c r="H305" s="2" t="inlineStr">
        <is>
          <t>50%钙化是板栗生理代谢开始紊乱的关键时间点：三种果胶组分(WSP、CSP、ISP)此时均降至最低后回升，之后栗仁持续硬化，生产上应在此之前采取保鲜干预</t>
        </is>
      </c>
    </row>
    <row r="306">
      <c r="A306" s="2" t="n">
        <v>305</v>
      </c>
      <c r="B306" s="2" t="n">
        <v>62</v>
      </c>
      <c r="C306" s="2" t="inlineStr">
        <is>
          <t>062_2022_Transcriptomics Integrated with Changes in Cell Wall Material of Chestnut (Castanea mollissima B.md</t>
        </is>
      </c>
      <c r="D306" s="2" t="inlineStr">
        <is>
          <t>板栗贮藏期间细胞壁物质变化与转录组联合分析揭示'钙化'过程新机制</t>
        </is>
      </c>
      <c r="E306" s="2" t="inlineStr">
        <is>
          <t>加工与贮藏</t>
        </is>
      </c>
      <c r="F306" s="2" t="inlineStr">
        <is>
          <t>基础研究</t>
        </is>
      </c>
      <c r="G306" s="2" t="inlineStr">
        <is>
          <t>钙化的分子机理</t>
        </is>
      </c>
      <c r="H306" s="2" t="inlineStr">
        <is>
          <t>0%与50%钙化对比转录组鉴定1801个差异基因；纤维素合酶基因scaffold11300和果胶合酶基因scaffold0412显著上调（后者上调12倍），而纤维素、木质素、果胶降解相关基因大多下调，PG酶基因下调与果实成熟软化现象相反，解释栗仁持续变硬</t>
        </is>
      </c>
    </row>
    <row r="307">
      <c r="A307" s="2" t="n">
        <v>306</v>
      </c>
      <c r="B307" s="2" t="n">
        <v>63</v>
      </c>
      <c r="C307" s="2" t="inlineStr">
        <is>
          <t>063_2021_Development of Chinese chestnut whiskey_ yeast strains isolation, fermentation system optimizati.md</t>
        </is>
      </c>
      <c r="D307" s="2" t="inlineStr">
        <is>
          <t>中国板栗威士忌的开发：酵母菌株分离、发酵体系优化及放大发酵</t>
        </is>
      </c>
      <c r="E307" s="2" t="inlineStr">
        <is>
          <t>加工与贮藏</t>
        </is>
      </c>
      <c r="F307" s="2" t="inlineStr">
        <is>
          <t>加工利用</t>
        </is>
      </c>
      <c r="G307" s="2" t="inlineStr">
        <is>
          <t>板栗酿酒专用酵母组合</t>
        </is>
      </c>
      <c r="H307" s="2" t="inlineStr">
        <is>
          <t>从浓香型大曲分离16株酵母中筛选出最佳组合：酿酒酵母HN006产乙醇最高（120 h达90.2 g/L，糖利用率99.5%），异常威克汉姆酵母HN010产酯最丰富（16.456 μg/mL，为酿酒酵母的3倍以上）且感官评分最高，二者混合发酵兼顾酒度与风味</t>
        </is>
      </c>
    </row>
    <row r="308">
      <c r="A308" s="2" t="n">
        <v>307</v>
      </c>
      <c r="B308" s="2" t="n">
        <v>63</v>
      </c>
      <c r="C308" s="2" t="inlineStr">
        <is>
          <t>063_2021_Development of Chinese chestnut whiskey_ yeast strains isolation, fermentation system optimizati.md</t>
        </is>
      </c>
      <c r="D308" s="2" t="inlineStr">
        <is>
          <t>中国板栗威士忌的开发：酵母菌株分离、发酵体系优化及放大发酵</t>
        </is>
      </c>
      <c r="E308" s="2" t="inlineStr">
        <is>
          <t>加工与贮藏</t>
        </is>
      </c>
      <c r="F308" s="2" t="inlineStr">
        <is>
          <t>加工利用</t>
        </is>
      </c>
      <c r="G308" s="2" t="inlineStr">
        <is>
          <t>板栗威士忌最优发酵工艺</t>
        </is>
      </c>
      <c r="H308" s="2" t="inlineStr">
        <is>
          <t>最优发酵参数：混合接种量6%(v/v)、HN006:HN010=1:2(v/v)、原料配比板栗:麦芽:糯米=5:3:2、酵母浸粉6 g/L，发酵6天；此条件下乙醇浓度92.6 g/L、感官评分达8.9；多粮混合发酵优于板栗单粮发酵</t>
        </is>
      </c>
    </row>
    <row r="309">
      <c r="A309" s="2" t="n">
        <v>308</v>
      </c>
      <c r="B309" s="2" t="n">
        <v>63</v>
      </c>
      <c r="C309" s="2" t="inlineStr">
        <is>
          <t>063_2021_Development of Chinese chestnut whiskey_ yeast strains isolation, fermentation system optimizati.md</t>
        </is>
      </c>
      <c r="D309" s="2" t="inlineStr">
        <is>
          <t>中国板栗威士忌的开发：酵母菌株分离、发酵体系优化及放大发酵</t>
        </is>
      </c>
      <c r="E309" s="2" t="inlineStr">
        <is>
          <t>加工与贮藏</t>
        </is>
      </c>
      <c r="F309" s="2" t="inlineStr">
        <is>
          <t>产业市场</t>
        </is>
      </c>
      <c r="G309" s="2" t="inlineStr">
        <is>
          <t>发酵工艺产业化放大</t>
        </is>
      </c>
      <c r="H309" s="2" t="inlineStr">
        <is>
          <t>优化工艺成功放大至1000 L中试发酵罐（安徽迎驾酒业），3天完成3批次生产，最高乙醇浓度190.56 g/L、得率0.487 g/g，产酒过程稳定，具备工业化生产可行性</t>
        </is>
      </c>
    </row>
    <row r="310">
      <c r="A310" s="2" t="n">
        <v>309</v>
      </c>
      <c r="B310" s="2" t="n">
        <v>63</v>
      </c>
      <c r="C310" s="2" t="inlineStr">
        <is>
          <t>063_2021_Development of Chinese chestnut whiskey_ yeast strains isolation, fermentation system optimizati.md</t>
        </is>
      </c>
      <c r="D310" s="2" t="inlineStr">
        <is>
          <t>中国板栗威士忌的开发：酵母菌株分离、发酵体系优化及放大发酵</t>
        </is>
      </c>
      <c r="E310" s="2" t="inlineStr">
        <is>
          <t>加工与贮藏</t>
        </is>
      </c>
      <c r="F310" s="2" t="inlineStr">
        <is>
          <t>产业市场</t>
        </is>
      </c>
      <c r="G310" s="2" t="inlineStr">
        <is>
          <t>板栗深加工的必要性</t>
        </is>
      </c>
      <c r="H310" s="2" t="inlineStr">
        <is>
          <t>板栗淀粉含量高适于酿酒，但含水量约50%、季节性强，贮藏中易发芽、霉变、生虫，传统糖炒等加工方式经济效益有限；开发板栗酒等高值产品可缓解产区'卖栗难'问题</t>
        </is>
      </c>
    </row>
    <row r="311">
      <c r="A311" s="2" t="n">
        <v>310</v>
      </c>
      <c r="B311" s="2" t="n">
        <v>63</v>
      </c>
      <c r="C311" s="2" t="inlineStr">
        <is>
          <t>063_2021_Development of Chinese chestnut whiskey_ yeast strains isolation, fermentation system optimizati.md</t>
        </is>
      </c>
      <c r="D311" s="2" t="inlineStr">
        <is>
          <t>中国板栗威士忌的开发：酵母菌株分离、发酵体系优化及放大发酵</t>
        </is>
      </c>
      <c r="E311" s="2" t="inlineStr">
        <is>
          <t>加工与贮藏</t>
        </is>
      </c>
      <c r="F311" s="2" t="inlineStr">
        <is>
          <t>加工利用</t>
        </is>
      </c>
      <c r="G311" s="2" t="inlineStr">
        <is>
          <t>板栗酒香气物质构成</t>
        </is>
      </c>
      <c r="H311" s="2" t="inlineStr">
        <is>
          <t>板栗酒挥发性香气以酯类（3.5-16.5 μg/mL）、挥发性酸、醇类为主；乙酸乙酯（甜果香）、乙酸苯乙酯（玫瑰香）、己酸乙酯（苹果皮香）为主要特征香气成分，非酿酒酵母产酯显著高于酿酒酵母，赋予酒体更协调的果香</t>
        </is>
      </c>
    </row>
    <row r="312">
      <c r="A312" s="2" t="n">
        <v>311</v>
      </c>
      <c r="B312" s="2" t="n">
        <v>64</v>
      </c>
      <c r="C312" s="2" t="inlineStr">
        <is>
          <t>064_2021_Estimation of Total Phenolic Compounds and Non-Targeted Volatile Metabolomics in Leaf Tissues of.md</t>
        </is>
      </c>
      <c r="D312" s="2" t="inlineStr">
        <is>
          <t>美洲栗、中国板栗及其回交世代叶片总酚化合物估测与非靶向挥发性代谢组学分析</t>
        </is>
      </c>
      <c r="E312" s="2" t="inlineStr">
        <is>
          <t>育种与遗传资源</t>
        </is>
      </c>
      <c r="F312" s="2" t="inlineStr">
        <is>
          <t>繁殖育种</t>
        </is>
      </c>
      <c r="G312" s="2" t="inlineStr">
        <is>
          <t>栗属树种叶片总酚含量差异</t>
        </is>
      </c>
      <c r="H312" s="2" t="inlineStr">
        <is>
          <t>中国板栗叶片总酚含量最高（14.125 mg/g鲜重，咖啡酸当量），美洲栗最低（9.774 mg/g），回交后代B3F2(9.931)和B3F3(10.884)居中，中国板栗与其他三种差异均达极显著水平</t>
        </is>
      </c>
    </row>
    <row r="313">
      <c r="A313" s="2" t="n">
        <v>312</v>
      </c>
      <c r="B313" s="2" t="n">
        <v>64</v>
      </c>
      <c r="C313" s="2" t="inlineStr">
        <is>
          <t>064_2021_Estimation of Total Phenolic Compounds and Non-Targeted Volatile Metabolomics in Leaf Tissues of.md</t>
        </is>
      </c>
      <c r="D313" s="2" t="inlineStr">
        <is>
          <t>美洲栗、中国板栗及其回交世代叶片总酚化合物估测与非靶向挥发性代谢组学分析</t>
        </is>
      </c>
      <c r="E313" s="2" t="inlineStr">
        <is>
          <t>育种与遗传资源</t>
        </is>
      </c>
      <c r="F313" s="2" t="inlineStr">
        <is>
          <t>繁殖育种</t>
        </is>
      </c>
      <c r="G313" s="2" t="inlineStr">
        <is>
          <t>总酚含量作为抗病育种指标</t>
        </is>
      </c>
      <c r="H313" s="2" t="inlineStr">
        <is>
          <t>酚类物质参与植物对真菌病原的防御，叶片总酚含量与栗疫病抗性排序一致（抗病的中国板栗&gt;杂种&gt;感病的美洲栗），可作为回交育种后代抗病性的早期辅助评价指标；B3F3代总酚明显低于中国板栗亲本，提示其防御机制可能减弱</t>
        </is>
      </c>
    </row>
    <row r="314">
      <c r="A314" s="2" t="n">
        <v>313</v>
      </c>
      <c r="B314" s="2" t="n">
        <v>64</v>
      </c>
      <c r="C314" s="2" t="inlineStr">
        <is>
          <t>064_2021_Estimation of Total Phenolic Compounds and Non-Targeted Volatile Metabolomics in Leaf Tissues of.md</t>
        </is>
      </c>
      <c r="D314" s="2" t="inlineStr">
        <is>
          <t>美洲栗、中国板栗及其回交世代叶片总酚化合物估测与非靶向挥发性代谢组学分析</t>
        </is>
      </c>
      <c r="E314" s="2" t="inlineStr">
        <is>
          <t>育种与遗传资源</t>
        </is>
      </c>
      <c r="F314" s="2" t="inlineStr">
        <is>
          <t>繁殖育种</t>
        </is>
      </c>
      <c r="G314" s="2" t="inlineStr">
        <is>
          <t>叶片挥发物指纹鉴别种质</t>
        </is>
      </c>
      <c r="H314" s="2" t="inlineStr">
        <is>
          <t>HS-SPME-GC/MS从四种栗树叶片鉴定67种挥发性有机物，PLS-DA模型(R2X=0.884, R2Y=0.917, Q2=0.584)可区分美洲栗、中国板栗及回交系，仅用少量叶片即可快速无损分类，服务于栗树种质鉴定</t>
        </is>
      </c>
    </row>
    <row r="315">
      <c r="A315" s="2" t="n">
        <v>314</v>
      </c>
      <c r="B315" s="2" t="n">
        <v>64</v>
      </c>
      <c r="C315" s="2" t="inlineStr">
        <is>
          <t>064_2021_Estimation of Total Phenolic Compounds and Non-Targeted Volatile Metabolomics in Leaf Tissues of.md</t>
        </is>
      </c>
      <c r="D315" s="2" t="inlineStr">
        <is>
          <t>美洲栗、中国板栗及其回交世代叶片总酚化合物估测与非靶向挥发性代谢组学分析</t>
        </is>
      </c>
      <c r="E315" s="2" t="inlineStr">
        <is>
          <t>育种与遗传资源</t>
        </is>
      </c>
      <c r="F315" s="2" t="inlineStr">
        <is>
          <t>病虫害防治</t>
        </is>
      </c>
      <c r="G315" s="2" t="inlineStr">
        <is>
          <t>中国板栗挥发物的抗真菌特性</t>
        </is>
      </c>
      <c r="H315" s="2" t="inlineStr">
        <is>
          <t>与中国板栗相关的叶片挥发物大多有抗真菌活性报道（如ylangene、石竹烯、seychellene、角鲨烯、β-水芹烯等），而美洲栗及其杂种的挥发物多无直接抗真菌活性，这与中国板栗对栗疫病的抗性相符</t>
        </is>
      </c>
    </row>
    <row r="316">
      <c r="A316" s="2" t="n">
        <v>315</v>
      </c>
      <c r="B316" s="2" t="n">
        <v>64</v>
      </c>
      <c r="C316" s="2" t="inlineStr">
        <is>
          <t>064_2021_Estimation of Total Phenolic Compounds and Non-Targeted Volatile Metabolomics in Leaf Tissues of.md</t>
        </is>
      </c>
      <c r="D316" s="2" t="inlineStr">
        <is>
          <t>美洲栗、中国板栗及其回交世代叶片总酚化合物估测与非靶向挥发性代谢组学分析</t>
        </is>
      </c>
      <c r="E316" s="2" t="inlineStr">
        <is>
          <t>育种与遗传资源</t>
        </is>
      </c>
      <c r="F316" s="2" t="inlineStr">
        <is>
          <t>基础研究</t>
        </is>
      </c>
      <c r="G316" s="2" t="inlineStr">
        <is>
          <t>栗叶总酚提取方法</t>
        </is>
      </c>
      <c r="H316" s="2" t="inlineStr">
        <is>
          <t>栗叶总酚最佳提取条件：甲醇/水(95:5)、pH2、料液比100:1、提取24小时；提取动力学符合二级动力学模型(R2&gt;0.99)，先快速洗脱后扩散控制的两个阶段</t>
        </is>
      </c>
    </row>
    <row r="317">
      <c r="A317" s="2" t="n">
        <v>316</v>
      </c>
      <c r="B317" s="2" t="n">
        <v>65</v>
      </c>
      <c r="C317" s="2" t="inlineStr">
        <is>
          <t>065_2021_Identification and Characterization of MADS-box Genes Involved in Floral Organ Development in Ch.md</t>
        </is>
      </c>
      <c r="D317" s="2" t="inlineStr">
        <is>
          <t>中国板栗花器官发育相关MADS-box基因的鉴定与特征分析</t>
        </is>
      </c>
      <c r="E317" s="2" t="inlineStr">
        <is>
          <t>基因组与基因家族</t>
        </is>
      </c>
      <c r="F317" s="2" t="inlineStr">
        <is>
          <t>基础研究</t>
        </is>
      </c>
      <c r="G317" s="2" t="inlineStr">
        <is>
          <t>板栗MADS-box基因家族规模</t>
        </is>
      </c>
      <c r="H317" s="2" t="inlineStr">
        <is>
          <t>板栗基因组共鉴定53个MADS-box基因（I型21个、II型32个），数量少于苹果(146)、杨树(101)、拟南芥(108)等物种，串联重复是其扩张与收缩的主要原因</t>
        </is>
      </c>
    </row>
    <row r="318">
      <c r="A318" s="2" t="n">
        <v>317</v>
      </c>
      <c r="B318" s="2" t="n">
        <v>65</v>
      </c>
      <c r="C318" s="2" t="inlineStr">
        <is>
          <t>065_2021_Identification and Characterization of MADS-box Genes Involved in Floral Organ Development in Ch.md</t>
        </is>
      </c>
      <c r="D318" s="2" t="inlineStr">
        <is>
          <t>中国板栗花器官发育相关MADS-box基因的鉴定与特征分析</t>
        </is>
      </c>
      <c r="E318" s="2" t="inlineStr">
        <is>
          <t>基因组与基因家族</t>
        </is>
      </c>
      <c r="F318" s="2" t="inlineStr">
        <is>
          <t>栽培管理</t>
        </is>
      </c>
      <c r="G318" s="2" t="inlineStr">
        <is>
          <t>板栗雌雄花比例与产量限制</t>
        </is>
      </c>
      <c r="H318" s="2" t="inlineStr">
        <is>
          <t>板栗为雌雄同株，具纯雄性花序和两性花序两类柔荑花序，雌雄花比例约为1:2900-3400，雌花数量少是限制板栗产量的重要因素，促进雌花发育的基因研究对增产意义重大</t>
        </is>
      </c>
    </row>
    <row r="319">
      <c r="A319" s="2" t="n">
        <v>318</v>
      </c>
      <c r="B319" s="2" t="n">
        <v>65</v>
      </c>
      <c r="C319" s="2" t="inlineStr">
        <is>
          <t>065_2021_Identification and Characterization of MADS-box Genes Involved in Floral Organ Development in Ch.md</t>
        </is>
      </c>
      <c r="D319" s="2" t="inlineStr">
        <is>
          <t>中国板栗花器官发育相关MADS-box基因的鉴定与特征分析</t>
        </is>
      </c>
      <c r="E319" s="2" t="inlineStr">
        <is>
          <t>基因组与基因家族</t>
        </is>
      </c>
      <c r="F319" s="2" t="inlineStr">
        <is>
          <t>基础研究</t>
        </is>
      </c>
      <c r="G319" s="2" t="inlineStr">
        <is>
          <t>板栗花器官决定的基因模型</t>
        </is>
      </c>
      <c r="H319" s="2" t="inlineStr">
        <is>
          <t>板栗花虽发育两轮器官，但MADS基因表达模式不同于拟南芥四轮花ABCDE模型：雄花可能由ABE功能基因决定，雌花由ACE功能基因决定，与同科雌雄同株的栓皮栎类似</t>
        </is>
      </c>
    </row>
    <row r="320">
      <c r="A320" s="2" t="n">
        <v>319</v>
      </c>
      <c r="B320" s="2" t="n">
        <v>65</v>
      </c>
      <c r="C320" s="2" t="inlineStr">
        <is>
          <t>065_2021_Identification and Characterization of MADS-box Genes Involved in Floral Organ Development in Ch.md</t>
        </is>
      </c>
      <c r="D320" s="2" t="inlineStr">
        <is>
          <t>中国板栗花器官发育相关MADS-box基因的鉴定与特征分析</t>
        </is>
      </c>
      <c r="E320" s="2" t="inlineStr">
        <is>
          <t>基因组与基因家族</t>
        </is>
      </c>
      <c r="F320" s="2" t="inlineStr">
        <is>
          <t>繁殖育种</t>
        </is>
      </c>
      <c r="G320" s="2" t="inlineStr">
        <is>
          <t>雌雄花发育关键候选基因</t>
        </is>
      </c>
      <c r="H320" s="2" t="inlineStr">
        <is>
          <t>TM8亚族基因CmMADS38在子房中表达量最高，可能调控子房发育；MIKC*基因CmMADS42仅在花药中高表达，可能与板栗花粉发育和低萌发率调控相关；I型基因CmMADS13和CmMADS15在混合芽和雌花中高表达，可能与雌花发育有关</t>
        </is>
      </c>
    </row>
    <row r="321">
      <c r="A321" s="2" t="n">
        <v>320</v>
      </c>
      <c r="B321" s="2" t="n">
        <v>65</v>
      </c>
      <c r="C321" s="2" t="inlineStr">
        <is>
          <t>065_2021_Identification and Characterization of MADS-box Genes Involved in Floral Organ Development in Ch.md</t>
        </is>
      </c>
      <c r="D321" s="2" t="inlineStr">
        <is>
          <t>中国板栗花器官发育相关MADS-box基因的鉴定与特征分析</t>
        </is>
      </c>
      <c r="E321" s="2" t="inlineStr">
        <is>
          <t>基因组与基因家族</t>
        </is>
      </c>
      <c r="F321" s="2" t="inlineStr">
        <is>
          <t>基础研究</t>
        </is>
      </c>
      <c r="G321" s="2" t="inlineStr">
        <is>
          <t>花芽分化期基因表达动态</t>
        </is>
      </c>
      <c r="H321" s="2" t="inlineStr">
        <is>
          <t>16个CmMADS基因在花序原基早期分化期（B1期，北京3月14日前后）高表达并随花芽发育持续下降，SEP、AP1/FUL、SOC1等亚族基因可能影响板栗营养生长向生殖生长的转变</t>
        </is>
      </c>
    </row>
    <row r="322">
      <c r="A322" s="2" t="n">
        <v>321</v>
      </c>
      <c r="B322" s="2" t="n">
        <v>66</v>
      </c>
      <c r="C322" s="2" t="inlineStr">
        <is>
          <t>066_2021_Morphological observation and protein expression of fertile and abortive ovules in Castanea moll.md</t>
        </is>
      </c>
      <c r="D322" s="2" t="inlineStr">
        <is>
          <t>板栗可育与败育胚珠的形态观察和蛋白表达分析</t>
        </is>
      </c>
      <c r="E322" s="2" t="inlineStr">
        <is>
          <t>生理与分子机制</t>
        </is>
      </c>
      <c r="F322" s="2" t="inlineStr">
        <is>
          <t>基础研究</t>
        </is>
      </c>
      <c r="G322" s="2" t="inlineStr">
        <is>
          <t>板栗胚珠数量与高败育率</t>
        </is>
      </c>
      <c r="H322" s="2" t="inlineStr">
        <is>
          <t>板栗每个子房含12-18个胚珠（子房6-9室，每室2个倒生胚珠），但通常仅1个发育成种子，'怀黄'开花后20天胚珠败育率达94%；可育胚珠在子房中的位置不固定，同一室内体积较大的胚珠更可能发育为可育胚珠，这解释了板栗坐果率低、一苞常仅一果的现象</t>
        </is>
      </c>
    </row>
    <row r="323">
      <c r="A323" s="2" t="n">
        <v>322</v>
      </c>
      <c r="B323" s="2" t="n">
        <v>66</v>
      </c>
      <c r="C323" s="2" t="inlineStr">
        <is>
          <t>066_2021_Morphological observation and protein expression of fertile and abortive ovules in Castanea moll.md</t>
        </is>
      </c>
      <c r="D323" s="2" t="inlineStr">
        <is>
          <t>板栗可育与败育胚珠的形态观察和蛋白表达分析</t>
        </is>
      </c>
      <c r="E323" s="2" t="inlineStr">
        <is>
          <t>生理与分子机制</t>
        </is>
      </c>
      <c r="F323" s="2" t="inlineStr">
        <is>
          <t>基础研究</t>
        </is>
      </c>
      <c r="G323" s="2" t="inlineStr">
        <is>
          <t>败育胚珠的形态与超微结构特征</t>
        </is>
      </c>
      <c r="H323" s="2" t="inlineStr">
        <is>
          <t>20 DAA可育胚珠已有完整胚囊、球形胚和胚乳，内外珠被紧密相贴；败育胚珠无胚囊（不能完成双受精），内外珠被间出现明显空隙并残留珠心组织；败育细胞呈凋亡样特征：细胞壁不规则增厚、质膜皱缩、核膜破裂、核仁降解、线粒体数量显著减少、细胞器难以分辨</t>
        </is>
      </c>
    </row>
    <row r="324">
      <c r="A324" s="2" t="n">
        <v>323</v>
      </c>
      <c r="B324" s="2" t="n">
        <v>66</v>
      </c>
      <c r="C324" s="2" t="inlineStr">
        <is>
          <t>066_2021_Morphological observation and protein expression of fertile and abortive ovules in Castanea moll.md</t>
        </is>
      </c>
      <c r="D324" s="2" t="inlineStr">
        <is>
          <t>板栗可育与败育胚珠的形态观察和蛋白表达分析</t>
        </is>
      </c>
      <c r="E324" s="2" t="inlineStr">
        <is>
          <t>生理与分子机制</t>
        </is>
      </c>
      <c r="F324" s="2" t="inlineStr">
        <is>
          <t>基础研究</t>
        </is>
      </c>
      <c r="G324" s="2" t="inlineStr">
        <is>
          <t>败育相关的差异蛋白</t>
        </is>
      </c>
      <c r="H324" s="2" t="inlineStr">
        <is>
          <t>iTRAQ鉴定3230个差异表达蛋白（败育胚珠中1748个上调、1482个下调）；4个翻译起始因子、3个蛋白二硫键异构酶(PDI)、9个氨基酸代谢酶和7个糖酵解酶在败育胚珠中显著下调，其中GAPDH降幅最大（为可育胚珠的0.4714倍，Western blot验证）；6种过氧化物酶显著上调（最高4.03倍）指示活性氧过量积累</t>
        </is>
      </c>
    </row>
    <row r="325">
      <c r="A325" s="2" t="n">
        <v>324</v>
      </c>
      <c r="B325" s="2" t="n">
        <v>66</v>
      </c>
      <c r="C325" s="2" t="inlineStr">
        <is>
          <t>066_2021_Morphological observation and protein expression of fertile and abortive ovules in Castanea moll.md</t>
        </is>
      </c>
      <c r="D325" s="2" t="inlineStr">
        <is>
          <t>板栗可育与败育胚珠的形态观察和蛋白表达分析</t>
        </is>
      </c>
      <c r="E325" s="2" t="inlineStr">
        <is>
          <t>生理与分子机制</t>
        </is>
      </c>
      <c r="F325" s="2" t="inlineStr">
        <is>
          <t>基础研究</t>
        </is>
      </c>
      <c r="G325" s="2" t="inlineStr">
        <is>
          <t>胚珠败育的生理机制</t>
        </is>
      </c>
      <c r="H325" s="2" t="inlineStr">
        <is>
          <t>胚珠发育是高耗能过程，败育胚珠中糖酵解、TCA循环、氧化磷酸化等能量合成相关蛋白普遍下调导致ATP供应不足；可育胚珠总蛋白(536µg)为败育胚珠(220µg)的2.43倍，蛋白质合成受抑和游离氨基酸减少会降低细胞渗透势与吸水能力；能量供应不足与活性氧过量积累是板栗胚珠败育的主要原因</t>
        </is>
      </c>
    </row>
    <row r="326">
      <c r="A326" s="2" t="n">
        <v>325</v>
      </c>
      <c r="B326" s="2" t="n">
        <v>67</v>
      </c>
      <c r="C326" s="2" t="inlineStr">
        <is>
          <t>067_2021_Non-targeted and targeted metabolomics profiling of tea plants (Camellia sinensis) in response t.md</t>
        </is>
      </c>
      <c r="D326" s="2" t="inlineStr">
        <is>
          <t>茶树对板栗间作响应的非靶向与靶向代谢组学分析</t>
        </is>
      </c>
      <c r="E326" s="2" t="inlineStr">
        <is>
          <t>栽培与土壤管理</t>
        </is>
      </c>
      <c r="F326" s="2" t="inlineStr">
        <is>
          <t>栽培管理</t>
        </is>
      </c>
      <c r="G326" s="2" t="inlineStr">
        <is>
          <t>板栗-茶间作显著提升绿茶品质</t>
        </is>
      </c>
      <c r="H326" s="2" t="inlineStr">
        <is>
          <t>云南宜良宝洪山1980年代建立的板栗-茶间作茶园绿茶感官评分最高（滋味91分），高于纯茶园（82.5分）；间作茶茶多酚含量(18.73%)与咖啡碱(2.12%)均低于纯茶园(21.09%/2.22%)，茶多酚/氨基酸比值最低——这是绿茶品质优良的重要指标，酚氨比低则滋味鲜爽</t>
        </is>
      </c>
    </row>
    <row r="327">
      <c r="A327" s="2" t="n">
        <v>326</v>
      </c>
      <c r="B327" s="2" t="n">
        <v>67</v>
      </c>
      <c r="C327" s="2" t="inlineStr">
        <is>
          <t>067_2021_Non-targeted and targeted metabolomics profiling of tea plants (Camellia sinensis) in response t.md</t>
        </is>
      </c>
      <c r="D327" s="2" t="inlineStr">
        <is>
          <t>茶树对板栗间作响应的非靶向与靶向代谢组学分析</t>
        </is>
      </c>
      <c r="E327" s="2" t="inlineStr">
        <is>
          <t>栽培与土壤管理</t>
        </is>
      </c>
      <c r="F327" s="2" t="inlineStr">
        <is>
          <t>加工利用</t>
        </is>
      </c>
      <c r="G327" s="2" t="inlineStr">
        <is>
          <t>间作改善茶味的代谢基础</t>
        </is>
      </c>
      <c r="H327" s="2" t="inlineStr">
        <is>
          <t>间作使茶鲜叶21种游离氨基酸上调、3种下调，上调者约半数可改善茶味：甜味型（丙氨酸、苏氨酸、丝氨酸、脯氨酸、蛋氨酸）、鲜味型（谷氨酸、谷氨酰胺、天冬酰胺、天冬氨酸，含量均超10000 nmol/g）、花香型（苯丙氨酸、甘氨酸）；天冬酰胺升幅最大（3.30倍）；同时苦味类黄酮（芹菜素、柚皮苷、野樱苷）下调、无味的芹菜苷上调，降低了茶汤苦味</t>
        </is>
      </c>
    </row>
    <row r="328">
      <c r="A328" s="2" t="n">
        <v>327</v>
      </c>
      <c r="B328" s="2" t="n">
        <v>67</v>
      </c>
      <c r="C328" s="2" t="inlineStr">
        <is>
          <t>067_2021_Non-targeted and targeted metabolomics profiling of tea plants (Camellia sinensis) in response t.md</t>
        </is>
      </c>
      <c r="D328" s="2" t="inlineStr">
        <is>
          <t>茶树对板栗间作响应的非靶向与靶向代谢组学分析</t>
        </is>
      </c>
      <c r="E328" s="2" t="inlineStr">
        <is>
          <t>栽培与土壤管理</t>
        </is>
      </c>
      <c r="F328" s="2" t="inlineStr">
        <is>
          <t>加工利用</t>
        </is>
      </c>
      <c r="G328" s="2" t="inlineStr">
        <is>
          <t>间作茶的香气与保健成分提升</t>
        </is>
      </c>
      <c r="H328" s="2" t="inlineStr">
        <is>
          <t>间作茶鲜叶中果甜花香型香气成分茉莉内酯上调1.21倍，有益心血管健康的油酸(C18:1)上调1.68倍，具降血压、安神功能的GABA上调1.62倍；鼠李糖上调2.70倍、D-苏糖醇2.21倍等糖类糖醇增加提升茶汤甜厚度，提示间作茶园适宜开发富GABA茶等高附加值产品</t>
        </is>
      </c>
    </row>
    <row r="329">
      <c r="A329" s="2" t="n">
        <v>328</v>
      </c>
      <c r="B329" s="2" t="n">
        <v>67</v>
      </c>
      <c r="C329" s="2" t="inlineStr">
        <is>
          <t>067_2021_Non-targeted and targeted metabolomics profiling of tea plants (Camellia sinensis) in response t.md</t>
        </is>
      </c>
      <c r="D329" s="2" t="inlineStr">
        <is>
          <t>茶树对板栗间作响应的非靶向与靶向代谢组学分析</t>
        </is>
      </c>
      <c r="E329" s="2" t="inlineStr">
        <is>
          <t>栽培与土壤管理</t>
        </is>
      </c>
      <c r="F329" s="2" t="inlineStr">
        <is>
          <t>栽培管理</t>
        </is>
      </c>
      <c r="G329" s="2" t="inlineStr">
        <is>
          <t>板栗-茶间作的生态经济优势</t>
        </is>
      </c>
      <c r="H329" s="2" t="inlineStr">
        <is>
          <t>板栗与茶是经典间作伙伴：板栗树冠遮阴降低光强、气温和土温并提高空气湿度，有利茶品质形成；两物种根系垂直分层、协调共生，提高茶树根系干重、叶片长度和重量；间作减少农药使用、抑制杂草，茶叶+板栗一地双收增加茶农收入，云南宜良宝洪山模式已成为全国板栗-茶间作典范</t>
        </is>
      </c>
    </row>
    <row r="330">
      <c r="A330" s="2" t="n">
        <v>329</v>
      </c>
      <c r="B330" s="2" t="n">
        <v>68</v>
      </c>
      <c r="C330" s="2" t="inlineStr">
        <is>
          <t>068_2021_The complete chloroplast genome of Castanea mollissima ‘Chuizhili’.md</t>
        </is>
      </c>
      <c r="D330" s="2" t="inlineStr">
        <is>
          <t>板栗品种'垂枝栗'的完整叶绿体基因组</t>
        </is>
      </c>
      <c r="E330" s="2" t="inlineStr">
        <is>
          <t>基因组与基因家族</t>
        </is>
      </c>
      <c r="F330" s="2" t="inlineStr">
        <is>
          <t>品种选择</t>
        </is>
      </c>
      <c r="G330" s="2" t="inlineStr">
        <is>
          <t>'垂枝栗'品种特性与价值</t>
        </is>
      </c>
      <c r="H330" s="2" t="inlineStr">
        <is>
          <t>'垂枝栗'(Chuizhili)是板栗垂枝型品种，枝条下垂、树干扭曲，既是园林绿化观赏树种，又因早果、丰产被作为优良栽培品种；主要分布于山东及中国东部地区，是矮化栗育种和观赏栗育种的优良种质资源</t>
        </is>
      </c>
    </row>
    <row r="331">
      <c r="A331" s="2" t="n">
        <v>330</v>
      </c>
      <c r="B331" s="2" t="n">
        <v>68</v>
      </c>
      <c r="C331" s="2" t="inlineStr">
        <is>
          <t>068_2021_The complete chloroplast genome of Castanea mollissima ‘Chuizhili’.md</t>
        </is>
      </c>
      <c r="D331" s="2" t="inlineStr">
        <is>
          <t>板栗品种'垂枝栗'的完整叶绿体基因组</t>
        </is>
      </c>
      <c r="E331" s="2" t="inlineStr">
        <is>
          <t>基因组与基因家族</t>
        </is>
      </c>
      <c r="F331" s="2" t="inlineStr">
        <is>
          <t>基础研究</t>
        </is>
      </c>
      <c r="G331" s="2" t="inlineStr">
        <is>
          <t>'垂枝栗'叶绿体基因组特征</t>
        </is>
      </c>
      <c r="H331" s="2" t="inlineStr">
        <is>
          <t>叶绿体基因组全长160,799 bp（GenBank: MW322901），由LSC(90,430 bp)、SSC(18,997 bp)和一对25,686 bp反向重复区组成；注释130个基因（83个蛋白编码、37个tRNA、8个rRNA、2个假基因），总GC含量36.8%，其中IR区GC含量最高(42.8%)</t>
        </is>
      </c>
    </row>
    <row r="332">
      <c r="A332" s="2" t="n">
        <v>331</v>
      </c>
      <c r="B332" s="2" t="n">
        <v>68</v>
      </c>
      <c r="C332" s="2" t="inlineStr">
        <is>
          <t>068_2021_The complete chloroplast genome of Castanea mollissima ‘Chuizhili’.md</t>
        </is>
      </c>
      <c r="D332" s="2" t="inlineStr">
        <is>
          <t>板栗品种'垂枝栗'的完整叶绿体基因组</t>
        </is>
      </c>
      <c r="E332" s="2" t="inlineStr">
        <is>
          <t>基因组与基因家族</t>
        </is>
      </c>
      <c r="F332" s="2" t="inlineStr">
        <is>
          <t>基础研究</t>
        </is>
      </c>
      <c r="G332" s="2" t="inlineStr">
        <is>
          <t>板栗属系统发育关系</t>
        </is>
      </c>
      <c r="H332" s="2" t="inlineStr">
        <is>
          <t>基于20个壳斗科完整叶绿体基因组和6个外类群（薄壳山核桃、榛等）的最大似然分析（1000次bootstrap）显示，'垂枝栗'与锥栗(Castanea henryi)亲缘关系最近（支持率100%），为栗属种质鉴定与演化研究提供参照</t>
        </is>
      </c>
    </row>
    <row r="333">
      <c r="A333" s="2" t="n">
        <v>332</v>
      </c>
      <c r="B333" s="2" t="n">
        <v>69</v>
      </c>
      <c r="C333" s="2" t="inlineStr">
        <is>
          <t>069_2021_Transcriptome analysis of genes involved in starch biosynthesis in developing Chinese chestnut (.md</t>
        </is>
      </c>
      <c r="D333" s="2" t="inlineStr">
        <is>
          <t>板栗种仁发育过程中淀粉生物合成相关基因的转录组分析</t>
        </is>
      </c>
      <c r="E333" s="2" t="inlineStr">
        <is>
          <t>生理与分子机制</t>
        </is>
      </c>
      <c r="F333" s="2" t="inlineStr">
        <is>
          <t>栽培管理</t>
        </is>
      </c>
      <c r="G333" s="2" t="inlineStr">
        <is>
          <t>板栗种仁淀粉积累动态</t>
        </is>
      </c>
      <c r="H333" s="2" t="inlineStr">
        <is>
          <t>'怀丰'种仁花后60-90天为淀粉快速积累期：90 DAF淀粉含量335.60 mg/g DW，约为60 DAF(5.65 mg/g)的60倍，100 DAF趋于稳定；果实鲜重70-90 DAF增长最快（1.54→9.33 g，增6.1倍）；蔗糖在50-70 DAF升至峰值256.58 mg/g DW后下降，先于淀粉大量积累并为其提供碳源，提示采前一个月是淀粉与干物质积累关键窗口</t>
        </is>
      </c>
    </row>
    <row r="334">
      <c r="A334" s="2" t="n">
        <v>333</v>
      </c>
      <c r="B334" s="2" t="n">
        <v>69</v>
      </c>
      <c r="C334" s="2" t="inlineStr">
        <is>
          <t>069_2021_Transcriptome analysis of genes involved in starch biosynthesis in developing Chinese chestnut (.md</t>
        </is>
      </c>
      <c r="D334" s="2" t="inlineStr">
        <is>
          <t>板栗种仁发育过程中淀粉生物合成相关基因的转录组分析</t>
        </is>
      </c>
      <c r="E334" s="2" t="inlineStr">
        <is>
          <t>生理与分子机制</t>
        </is>
      </c>
      <c r="F334" s="2" t="inlineStr">
        <is>
          <t>加工利用</t>
        </is>
      </c>
      <c r="G334" s="2" t="inlineStr">
        <is>
          <t>板栗淀粉组成与淀粉粒特性</t>
        </is>
      </c>
      <c r="H334" s="2" t="inlineStr">
        <is>
          <t>成熟板栗种仁支链淀粉占总淀粉70.7%以上（与欧洲栗70.4-73.4%相近），淀粉粒呈圆形或椭圆形、表面光滑、脐点偏心；直链淀粉主要由GBSS1合成、支链淀粉由SS1与SBE2.1/2.2、ISA3、PHO等协同合成；淀粉组分比例决定其理化性质与加工用途</t>
        </is>
      </c>
    </row>
    <row r="335">
      <c r="A335" s="2" t="n">
        <v>334</v>
      </c>
      <c r="B335" s="2" t="n">
        <v>69</v>
      </c>
      <c r="C335" s="2" t="inlineStr">
        <is>
          <t>069_2021_Transcriptome analysis of genes involved in starch biosynthesis in developing Chinese chestnut (.md</t>
        </is>
      </c>
      <c r="D335" s="2" t="inlineStr">
        <is>
          <t>板栗种仁发育过程中淀粉生物合成相关基因的转录组分析</t>
        </is>
      </c>
      <c r="E335" s="2" t="inlineStr">
        <is>
          <t>生理与分子机制</t>
        </is>
      </c>
      <c r="F335" s="2" t="inlineStr">
        <is>
          <t>基础研究</t>
        </is>
      </c>
      <c r="G335" s="2" t="inlineStr">
        <is>
          <t>淀粉合成的关键基因与代谢通路</t>
        </is>
      </c>
      <c r="H335" s="2" t="inlineStr">
        <is>
          <t>转录组获得38,146条unigene（平均1164.19 bp），239条与淀粉积累相关；蔗糖主要由SUSY2切割为UDPG和果糖，经UGP/FK生成G1P/F6P并转化为G6P，由GPT1（转录本约为GPT2的6.8倍）运入造粉体，经质体PGM1转为G-1-P，由AGP2/3生成ADPG后合成淀粉；ISA3表达量约为ISA1/2的3-5倍，对支链淀粉合成与淀粉粒起始至关重要</t>
        </is>
      </c>
    </row>
    <row r="336">
      <c r="A336" s="2" t="n">
        <v>335</v>
      </c>
      <c r="B336" s="2" t="n">
        <v>69</v>
      </c>
      <c r="C336" s="2" t="inlineStr">
        <is>
          <t>069_2021_Transcriptome analysis of genes involved in starch biosynthesis in developing Chinese chestnut (.md</t>
        </is>
      </c>
      <c r="D336" s="2" t="inlineStr">
        <is>
          <t>板栗种仁发育过程中淀粉生物合成相关基因的转录组分析</t>
        </is>
      </c>
      <c r="E336" s="2" t="inlineStr">
        <is>
          <t>生理与分子机制</t>
        </is>
      </c>
      <c r="F336" s="2" t="inlineStr">
        <is>
          <t>采收贮藏</t>
        </is>
      </c>
      <c r="G336" s="2" t="inlineStr">
        <is>
          <t>果实发育阶段判断参考</t>
        </is>
      </c>
      <c r="H336" s="2" t="inlineStr">
        <is>
          <t>板栗果实发育历期约100天（花后至成熟），成熟刺苞直径可达11 cm，内含2-4个坚果；果形指数（纵径/横径）由10 DAF的0.96降至60 DAF的0.76再回升至100 DAF的0.86，果形由椭圆渐变为半球形，可作为田间果实发育阶段判断参考</t>
        </is>
      </c>
    </row>
    <row r="337">
      <c r="A337" s="2" t="n">
        <v>336</v>
      </c>
      <c r="B337" s="2" t="n">
        <v>70</v>
      </c>
      <c r="C337" s="2" t="inlineStr">
        <is>
          <t>070_2021_Transcriptome sequencing and differential expression analysis of seed starch accumulation in Chi.md</t>
        </is>
      </c>
      <c r="D337" s="2" t="inlineStr">
        <is>
          <t>板栗种子淀粉积累的转录组测序与差异表达分析（花粉直感效应）</t>
        </is>
      </c>
      <c r="E337" s="2" t="inlineStr">
        <is>
          <t>育种与遗传资源</t>
        </is>
      </c>
      <c r="F337" s="2" t="inlineStr">
        <is>
          <t>栽培管理</t>
        </is>
      </c>
      <c r="G337" s="2" t="inlineStr">
        <is>
          <t>板栗花粉直感效应</t>
        </is>
      </c>
      <c r="H337" s="2" t="inlineStr">
        <is>
          <t>板栗种子大小、颜色、糖和淀粉含量均存在明显花粉直感（metaxenia）效应：自花授粉('永丰1号'×'永丰1号')的种子在授粉后70/82/94天三个时期均小于异花授粉（'永仁早'或'易门1'授粉）；种色越深淀粉含量越高；异花授粉的糖和淀粉含量及SS、SSS酶活性均高于自花授粉，板栗自花授粉坐果率低，生产上应配植授粉树</t>
        </is>
      </c>
    </row>
    <row r="338">
      <c r="A338" s="2" t="n">
        <v>337</v>
      </c>
      <c r="B338" s="2" t="n">
        <v>70</v>
      </c>
      <c r="C338" s="2" t="inlineStr">
        <is>
          <t>070_2021_Transcriptome sequencing and differential expression analysis of seed starch accumulation in Chi.md</t>
        </is>
      </c>
      <c r="D338" s="2" t="inlineStr">
        <is>
          <t>板栗种子淀粉积累的转录组测序与差异表达分析（花粉直感效应）</t>
        </is>
      </c>
      <c r="E338" s="2" t="inlineStr">
        <is>
          <t>育种与遗传资源</t>
        </is>
      </c>
      <c r="F338" s="2" t="inlineStr">
        <is>
          <t>栽培管理</t>
        </is>
      </c>
      <c r="G338" s="2" t="inlineStr">
        <is>
          <t>授粉品种选择与成熟期</t>
        </is>
      </c>
      <c r="H338" s="2" t="inlineStr">
        <is>
          <t>用早熟品种'永仁早'（平均单粒重12 g，7月下旬成熟）给'永丰1号'（约16 g）授粉(YFR)的种子发育更快、糖含量最高、S3期(94 DAP)淀粉积累最强，可能与早熟性有关；'易门1'（14.51 g，8月中旬成熟）授粉组合的蔗糖合酶活性最高；配置授粉树时应考虑父本成熟期与果实品质性状的花粉直感影响</t>
        </is>
      </c>
    </row>
    <row r="339">
      <c r="A339" s="2" t="n">
        <v>338</v>
      </c>
      <c r="B339" s="2" t="n">
        <v>70</v>
      </c>
      <c r="C339" s="2" t="inlineStr">
        <is>
          <t>070_2021_Transcriptome sequencing and differential expression analysis of seed starch accumulation in Chi.md</t>
        </is>
      </c>
      <c r="D339" s="2" t="inlineStr">
        <is>
          <t>板栗种子淀粉积累的转录组测序与差异表达分析（花粉直感效应）</t>
        </is>
      </c>
      <c r="E339" s="2" t="inlineStr">
        <is>
          <t>育种与遗传资源</t>
        </is>
      </c>
      <c r="F339" s="2" t="inlineStr">
        <is>
          <t>基础研究</t>
        </is>
      </c>
      <c r="G339" s="2" t="inlineStr">
        <is>
          <t>淀粉积累高峰期的关键酶基因</t>
        </is>
      </c>
      <c r="H339" s="2" t="inlineStr">
        <is>
          <t>淀粉粒结合淀粉合酶(GBSS, EC 2.4.1.242)和ADP-葡萄糖焦磷酸化酶(AGPase, EC 2.7.7.27)基因在94 DAP淀粉积累高峰期活跃表达；S3期糖酵解受抑、糖异生增强，使G-1-P和G-6-P流向淀粉合成途径；糖苷水解酶和磷酸葡萄糖变位酶基因表达随成熟下降，与淀粉积累趋势相反，种子通过调控糖苷转移酶与水解酶活性控制糖和淀粉积累</t>
        </is>
      </c>
    </row>
    <row r="340">
      <c r="A340" s="2" t="n">
        <v>339</v>
      </c>
      <c r="B340" s="2" t="n">
        <v>70</v>
      </c>
      <c r="C340" s="2" t="inlineStr">
        <is>
          <t>070_2021_Transcriptome sequencing and differential expression analysis of seed starch accumulation in Chi.md</t>
        </is>
      </c>
      <c r="D340" s="2" t="inlineStr">
        <is>
          <t>板栗种子淀粉积累的转录组测序与差异表达分析（花粉直感效应）</t>
        </is>
      </c>
      <c r="E340" s="2" t="inlineStr">
        <is>
          <t>育种与遗传资源</t>
        </is>
      </c>
      <c r="F340" s="2" t="inlineStr">
        <is>
          <t>基础研究</t>
        </is>
      </c>
      <c r="G340" s="2" t="inlineStr">
        <is>
          <t>板栗花粉直感转录组资源</t>
        </is>
      </c>
      <c r="H340" s="2" t="inlineStr">
        <is>
          <t>27个cDNA文库测序获得超11.4亿条高质量读段，比对参考基因组获得21,423个基因座位并检出9,999个新基因；WGCNA划分22个共表达模块，turquoise/red/blue模块分别对应S1/S2/S3发育期，S2期高表达ABC转运子和硫酸转运子基因提示大量物质向种子运输，为板栗花粉直感和淀粉代谢研究提供基因组资源</t>
        </is>
      </c>
    </row>
    <row r="341">
      <c r="A341" s="2" t="n">
        <v>340</v>
      </c>
      <c r="B341" s="2" t="n">
        <v>71</v>
      </c>
      <c r="C341" s="2" t="inlineStr">
        <is>
          <t>071_2020_Antibacterial effect of flavonoids in castanea mollissima blume on common spoilage bacteria in l.md</t>
        </is>
      </c>
      <c r="D341" s="2" t="inlineStr">
        <is>
          <t>板栗苞黄酮对低温肉制品中常见腐败菌的抑菌作用</t>
        </is>
      </c>
      <c r="E341" s="2" t="inlineStr">
        <is>
          <t>生物活性与功效</t>
        </is>
      </c>
      <c r="F341" s="2" t="inlineStr">
        <is>
          <t>加工利用</t>
        </is>
      </c>
      <c r="G341" s="2" t="inlineStr">
        <is>
          <t>板栗苞黄酮苷的抑菌谱与抑菌强度</t>
        </is>
      </c>
      <c r="H341" s="2" t="inlineStr">
        <is>
          <t>板栗苞黄酮苷对低温肉制品腐败菌抑菌效果显著：对巨大球菌抑菌圈17.76±0.20 mm、变形杆菌16.32±0.12 mm，MIC分别为0.0125和0.00625 g/mL，但对芽孢杆菌无抑制作用；推测因其对革兰氏阴性菌（变形杆菌、巨大球菌）活性强、对革兰氏阳性菌（芽孢杆菌）无效</t>
        </is>
      </c>
    </row>
    <row r="342">
      <c r="A342" s="2" t="n">
        <v>341</v>
      </c>
      <c r="B342" s="2" t="n">
        <v>71</v>
      </c>
      <c r="C342" s="2" t="inlineStr">
        <is>
          <t>071_2020_Antibacterial effect of flavonoids in castanea mollissima blume on common spoilage bacteria in l.md</t>
        </is>
      </c>
      <c r="D342" s="2" t="inlineStr">
        <is>
          <t>板栗苞黄酮对低温肉制品中常见腐败菌的抑菌作用</t>
        </is>
      </c>
      <c r="E342" s="2" t="inlineStr">
        <is>
          <t>生物活性与功效</t>
        </is>
      </c>
      <c r="F342" s="2" t="inlineStr">
        <is>
          <t>加工利用</t>
        </is>
      </c>
      <c r="G342" s="2" t="inlineStr">
        <is>
          <t>黄酮苷与游离黄酮的活性差异</t>
        </is>
      </c>
      <c r="H342" s="2" t="inlineStr">
        <is>
          <t>板栗苞中黄酮苷（水溶性）抑菌活性显著强于游离黄酮（醇溶性）：游离黄酮抑菌圈仅约7.3 mm、MIC 0.0125 g/mL，且因不溶于水在平板中扩散受限而影响抑菌圈大小，提取应用时优先选水溶性黄酮苷</t>
        </is>
      </c>
    </row>
    <row r="343">
      <c r="A343" s="2" t="n">
        <v>342</v>
      </c>
      <c r="B343" s="2" t="n">
        <v>71</v>
      </c>
      <c r="C343" s="2" t="inlineStr">
        <is>
          <t>071_2020_Antibacterial effect of flavonoids in castanea mollissima blume on common spoilage bacteria in l.md</t>
        </is>
      </c>
      <c r="D343" s="2" t="inlineStr">
        <is>
          <t>板栗苞黄酮对低温肉制品中常见腐败菌的抑菌作用</t>
        </is>
      </c>
      <c r="E343" s="2" t="inlineStr">
        <is>
          <t>生物活性与功效</t>
        </is>
      </c>
      <c r="F343" s="2" t="inlineStr">
        <is>
          <t>加工利用</t>
        </is>
      </c>
      <c r="G343" s="2" t="inlineStr">
        <is>
          <t>板栗苞黄酮的有效抑菌时间</t>
        </is>
      </c>
      <c r="H343" s="2" t="inlineStr">
        <is>
          <t>0.0125 g/mL（MIC）黄酮苷处理下，变形杆菌在1-14 h内数量不增加，有效抑菌时间14 h；对巨大球菌OD600持续低于对照但不能杀灭全部细菌，后期抑菌减弱可能因抑菌物质结构改变或细菌产生适应</t>
        </is>
      </c>
    </row>
    <row r="344">
      <c r="A344" s="2" t="n">
        <v>343</v>
      </c>
      <c r="B344" s="2" t="n">
        <v>71</v>
      </c>
      <c r="C344" s="2" t="inlineStr">
        <is>
          <t>071_2020_Antibacterial effect of flavonoids in castanea mollissima blume on common spoilage bacteria in l.md</t>
        </is>
      </c>
      <c r="D344" s="2" t="inlineStr">
        <is>
          <t>板栗苞黄酮对低温肉制品中常见腐败菌的抑菌作用</t>
        </is>
      </c>
      <c r="E344" s="2" t="inlineStr">
        <is>
          <t>生物活性与功效</t>
        </is>
      </c>
      <c r="F344" s="2" t="inlineStr">
        <is>
          <t>加工利用</t>
        </is>
      </c>
      <c r="G344" s="2" t="inlineStr">
        <is>
          <t>板栗苞两类黄酮的提取工艺</t>
        </is>
      </c>
      <c r="H344" s="2" t="inlineStr">
        <is>
          <t>黄酮苷为水溶性，用水提取（料液比1:10、60℃）；游离黄酮醇溶难溶于水，用92%乙醇提取（料液比1:10、62℃、273 min），原料粉碎过50目筛</t>
        </is>
      </c>
    </row>
    <row r="345">
      <c r="A345" s="2" t="n">
        <v>344</v>
      </c>
      <c r="B345" s="2" t="n">
        <v>71</v>
      </c>
      <c r="C345" s="2" t="inlineStr">
        <is>
          <t>071_2020_Antibacterial effect of flavonoids in castanea mollissima blume on common spoilage bacteria in l.md</t>
        </is>
      </c>
      <c r="D345" s="2" t="inlineStr">
        <is>
          <t>板栗苞黄酮对低温肉制品中常见腐败菌的抑菌作用</t>
        </is>
      </c>
      <c r="E345" s="2" t="inlineStr">
        <is>
          <t>生物活性与功效</t>
        </is>
      </c>
      <c r="F345" s="2" t="inlineStr">
        <is>
          <t>产业市场</t>
        </is>
      </c>
      <c r="G345" s="2" t="inlineStr">
        <is>
          <t>板栗苞开发天然防腐剂的价值</t>
        </is>
      </c>
      <c r="H345" s="2" t="inlineStr">
        <is>
          <t>板栗苞（栗蓬）是板栗加工的丰富廉价副产物，其水提物、醇溶物及乙酸乙酯提取物均有抗炎抗菌报道，本试验证实其黄酮对肉制品腐败菌有效，可作为天然抑菌剂用于肉制品保鲜</t>
        </is>
      </c>
    </row>
    <row r="346">
      <c r="A346" s="2" t="n">
        <v>345</v>
      </c>
      <c r="B346" s="2" t="n">
        <v>72</v>
      </c>
      <c r="C346" s="2" t="inlineStr">
        <is>
          <t>072_2020_Construction of Pseudomolecules for the Chinese Chestnut ( Castanea mollissima ) Genome.md</t>
        </is>
      </c>
      <c r="D346" s="2" t="inlineStr">
        <is>
          <t>中国板栗基因组伪分子（染色体水平序列）的构建</t>
        </is>
      </c>
      <c r="E346" s="2" t="inlineStr">
        <is>
          <t>基因组与基因家族</t>
        </is>
      </c>
      <c r="F346" s="2" t="inlineStr">
        <is>
          <t>基础研究</t>
        </is>
      </c>
      <c r="G346" s="2" t="inlineStr">
        <is>
          <t>板栗染色体水平参考基因组</t>
        </is>
      </c>
      <c r="H346" s="2" t="inlineStr">
        <is>
          <t>以实生优系N11-1为材料，PacBio（90×）+Illumina+Hi-C（170×）组装出688.93 Mb板栗基因组，contig N50达2.83 Mb（比前版本944.5 kb提高约3倍），99.75%序列锚定到12条染色体、97.07%准确定向，预测33,638个蛋白编码基因，是当时连续性最高的板栗参考基因组</t>
        </is>
      </c>
    </row>
    <row r="347">
      <c r="A347" s="2" t="n">
        <v>346</v>
      </c>
      <c r="B347" s="2" t="n">
        <v>72</v>
      </c>
      <c r="C347" s="2" t="inlineStr">
        <is>
          <t>072_2020_Construction of Pseudomolecules for the Chinese Chestnut ( Castanea mollissima ) Genome.md</t>
        </is>
      </c>
      <c r="D347" s="2" t="inlineStr">
        <is>
          <t>中国板栗基因组伪分子（染色体水平序列）的构建</t>
        </is>
      </c>
      <c r="E347" s="2" t="inlineStr">
        <is>
          <t>基因组与基因家族</t>
        </is>
      </c>
      <c r="F347" s="2" t="inlineStr">
        <is>
          <t>基础研究</t>
        </is>
      </c>
      <c r="G347" s="2" t="inlineStr">
        <is>
          <t>板栗与欧洲栎的亲缘关系与共线性</t>
        </is>
      </c>
      <c r="H347" s="2" t="inlineStr">
        <is>
          <t>基于863个单拷贝基因的系统发育显示板栗与欧洲栎（Quercus robur）互为姊妹类群，分化时间约18.3百万年前；两基因组间有18,399个共线性基因（占板栗总基因30.95%），栎属已定位的基因/性状信息可在板栗研究中借鉴</t>
        </is>
      </c>
    </row>
    <row r="348">
      <c r="A348" s="2" t="n">
        <v>347</v>
      </c>
      <c r="B348" s="2" t="n">
        <v>72</v>
      </c>
      <c r="C348" s="2" t="inlineStr">
        <is>
          <t>072_2020_Construction of Pseudomolecules for the Chinese Chestnut ( Castanea mollissima ) Genome.md</t>
        </is>
      </c>
      <c r="D348" s="2" t="inlineStr">
        <is>
          <t>中国板栗基因组伪分子（染色体水平序列）的构建</t>
        </is>
      </c>
      <c r="E348" s="2" t="inlineStr">
        <is>
          <t>基因组与基因家族</t>
        </is>
      </c>
      <c r="F348" s="2" t="inlineStr">
        <is>
          <t>繁殖育种</t>
        </is>
      </c>
      <c r="G348" s="2" t="inlineStr">
        <is>
          <t>板栗特有与扩张基因家族</t>
        </is>
      </c>
      <c r="H348" s="2" t="inlineStr">
        <is>
          <t>板栗含508个特有基因家族（3,201个基因）和1,057个扩张基因家族；特有基因涉及植物-病原互作（4个）、维生素B6代谢（3个）、淀粉与蔗糖代谢（2个）、错配修复（1个）和自交不亲和S1家族（2个），与其高淀粉坚果品质及对栗疫病（Cryphonectria parasitica）、根腐病（Phytophthora cinnamomi）的抗性相关，可作为美洲栗抗病改良的基因供体</t>
        </is>
      </c>
    </row>
    <row r="349">
      <c r="A349" s="2" t="n">
        <v>348</v>
      </c>
      <c r="B349" s="2" t="n">
        <v>72</v>
      </c>
      <c r="C349" s="2" t="inlineStr">
        <is>
          <t>072_2020_Construction of Pseudomolecules for the Chinese Chestnut ( Castanea mollissima ) Genome.md</t>
        </is>
      </c>
      <c r="D349" s="2" t="inlineStr">
        <is>
          <t>中国板栗基因组伪分子（染色体水平序列）的构建</t>
        </is>
      </c>
      <c r="E349" s="2" t="inlineStr">
        <is>
          <t>基因组与基因家族</t>
        </is>
      </c>
      <c r="F349" s="2" t="inlineStr">
        <is>
          <t>繁殖育种</t>
        </is>
      </c>
      <c r="G349" s="2" t="inlineStr">
        <is>
          <t>栗苞（刺束）发育候选基因</t>
        </is>
      </c>
      <c r="H349" s="2" t="inlineStr">
        <is>
          <t>在根、茎、叶、花、去皮果实中均不表达、仅在带苞完整果实中表达的基因有3个（EVM0005986、EVM0008813、EVM0017354），推测为栗苞特异表达，其中EVM0008813注释为拟南芥根分生组织生长因子3（ROOT MERISTEM GROWTH FACTOR 3），可能调控栗苞厚度与刺束发育，为培育少刺/无刺板栗品种（减少采收扎伤）提供候选靶点</t>
        </is>
      </c>
    </row>
    <row r="350">
      <c r="A350" s="2" t="n">
        <v>349</v>
      </c>
      <c r="B350" s="2" t="n">
        <v>72</v>
      </c>
      <c r="C350" s="2" t="inlineStr">
        <is>
          <t>072_2020_Construction of Pseudomolecules for the Chinese Chestnut ( Castanea mollissima ) Genome.md</t>
        </is>
      </c>
      <c r="D350" s="2" t="inlineStr">
        <is>
          <t>中国板栗基因组伪分子（染色体水平序列）的构建</t>
        </is>
      </c>
      <c r="E350" s="2" t="inlineStr">
        <is>
          <t>基因组与基因家族</t>
        </is>
      </c>
      <c r="F350" s="2" t="inlineStr">
        <is>
          <t>基础研究</t>
        </is>
      </c>
      <c r="G350" s="2" t="inlineStr">
        <is>
          <t>板栗组织特异表达基因与通路富集</t>
        </is>
      </c>
      <c r="H350" s="2" t="inlineStr">
        <is>
          <t>共鉴定2,533个组织特异基因（幼果569、根775、茎247、叶298、花644）；叶富集光合作用-天线蛋白等通路（富集因子17.55），花显著富集淀粉与蔗糖代谢（P=3.2×10-24）和戊糖葡萄糖醛酸转换，根最富集苯丙烷代谢（木质素合成），幼果富集氨基糖与核苷酸糖代谢（ANM，与淀粉储藏器官细胞壁维持相关），ANM富集与板栗坚果高淀粉含量一致</t>
        </is>
      </c>
    </row>
    <row r="351">
      <c r="A351" s="2" t="n">
        <v>350</v>
      </c>
      <c r="B351" s="2" t="n">
        <v>73</v>
      </c>
      <c r="C351" s="2" t="inlineStr">
        <is>
          <t>073_2020_Desiccation sensitivity of wild Castanea mollissima Blume determined by differential scanning ca.md</t>
        </is>
      </c>
      <c r="D351" s="2" t="inlineStr">
        <is>
          <t>利用差示扫描量热法（DSC）测定野生板栗种子的脱水敏感性</t>
        </is>
      </c>
      <c r="E351" s="2" t="inlineStr">
        <is>
          <t>生理与分子机制</t>
        </is>
      </c>
      <c r="F351" s="2" t="inlineStr">
        <is>
          <t>采收贮藏</t>
        </is>
      </c>
      <c r="G351" s="2" t="inlineStr">
        <is>
          <t>板栗种子是顽拗型（脱水敏感）种子</t>
        </is>
      </c>
      <c r="H351" s="2" t="inlineStr">
        <is>
          <t>野生板栗种子脱水敏感：硅胶干燥7天使胚含水量从1.59降至0.29 gH2O/g dw，生活力从90.48%降至47.62%；含水量降至0.38 gH2O/g dw时存活率显著下降至57.14%，故板栗种子不能在常规种子库长期保存，贮藏时忌过度干燥</t>
        </is>
      </c>
    </row>
    <row r="352">
      <c r="A352" s="2" t="n">
        <v>351</v>
      </c>
      <c r="B352" s="2" t="n">
        <v>73</v>
      </c>
      <c r="C352" s="2" t="inlineStr">
        <is>
          <t>073_2020_Desiccation sensitivity of wild Castanea mollissima Blume determined by differential scanning ca.md</t>
        </is>
      </c>
      <c r="D352" s="2" t="inlineStr">
        <is>
          <t>利用差示扫描量热法（DSC）测定野生板栗种子的脱水敏感性</t>
        </is>
      </c>
      <c r="E352" s="2" t="inlineStr">
        <is>
          <t>生理与分子机制</t>
        </is>
      </c>
      <c r="F352" s="2" t="inlineStr">
        <is>
          <t>采收贮藏</t>
        </is>
      </c>
      <c r="G352" s="2" t="inlineStr">
        <is>
          <t>超低温保存的最适胚含水量</t>
        </is>
      </c>
      <c r="H352" s="2" t="inlineStr">
        <is>
          <t>胚含水量≥0.47 gH2O/g dw时DSC出现放热结晶峰（自由水结冰致细胞组织冰冻伤害），硅胶干燥4天降至0.45±0.15 gH2O/g dw时放热峰消失、生活力仍有76.19%，0.45 gH2O/g dw确定为野生板栗胚超低温保存的最适含水量</t>
        </is>
      </c>
    </row>
    <row r="353">
      <c r="A353" s="2" t="n">
        <v>352</v>
      </c>
      <c r="B353" s="2" t="n">
        <v>73</v>
      </c>
      <c r="C353" s="2" t="inlineStr">
        <is>
          <t>073_2020_Desiccation sensitivity of wild Castanea mollissima Blume determined by differential scanning ca.md</t>
        </is>
      </c>
      <c r="D353" s="2" t="inlineStr">
        <is>
          <t>利用差示扫描量热法（DSC）测定野生板栗种子的脱水敏感性</t>
        </is>
      </c>
      <c r="E353" s="2" t="inlineStr">
        <is>
          <t>生理与分子机制</t>
        </is>
      </c>
      <c r="F353" s="2" t="inlineStr">
        <is>
          <t>采收贮藏</t>
        </is>
      </c>
      <c r="G353" s="2" t="inlineStr">
        <is>
          <t>不冻水含量是脱水安全下限</t>
        </is>
      </c>
      <c r="H353" s="2" t="inlineStr">
        <is>
          <t>板栗胚不冻水含量为0.247 gH2O/g dw（R²=0.897），理论上干燥至此水平已无可冻自由水，但实验表明胚含水量0.29 gH2O/g dw时存活率即降至47.62%，即过度脱水（去除束缚水）会导致生活力丧失，板栗胚半致死含水量低于0.29 gH2O/g dw，与欧洲栗（含水量&lt;19%冷冻保存仅剩根生长）结果相似</t>
        </is>
      </c>
    </row>
    <row r="354">
      <c r="A354" s="2" t="n">
        <v>353</v>
      </c>
      <c r="B354" s="2" t="n">
        <v>73</v>
      </c>
      <c r="C354" s="2" t="inlineStr">
        <is>
          <t>073_2020_Desiccation sensitivity of wild Castanea mollissima Blume determined by differential scanning ca.md</t>
        </is>
      </c>
      <c r="D354" s="2" t="inlineStr">
        <is>
          <t>利用差示扫描量热法（DSC）测定野生板栗种子的脱水敏感性</t>
        </is>
      </c>
      <c r="E354" s="2" t="inlineStr">
        <is>
          <t>生理与分子机制</t>
        </is>
      </c>
      <c r="F354" s="2" t="inlineStr">
        <is>
          <t>采收贮藏</t>
        </is>
      </c>
      <c r="G354" s="2" t="inlineStr">
        <is>
          <t>起始温度随脱水下降利于冷藏</t>
        </is>
      </c>
      <c r="H354" s="2" t="inlineStr">
        <is>
          <t>胚含水量由1.59降至0.47 gH2O/g dw时，自由水结晶起始温度由-14.38℃降至-28.95℃、结晶峰温度由-14.78℃降至-35.09℃，含水量越低自由水越难结冰；含水量高于0.45 gH2O/g dw保存时，贮藏环境温度应低于起始温度以避免结冰伤害</t>
        </is>
      </c>
    </row>
    <row r="355">
      <c r="A355" s="2" t="n">
        <v>354</v>
      </c>
      <c r="B355" s="2" t="n">
        <v>73</v>
      </c>
      <c r="C355" s="2" t="inlineStr">
        <is>
          <t>073_2020_Desiccation sensitivity of wild Castanea mollissima Blume determined by differential scanning ca.md</t>
        </is>
      </c>
      <c r="D355" s="2" t="inlineStr">
        <is>
          <t>利用差示扫描量热法（DSC）测定野生板栗种子的脱水敏感性</t>
        </is>
      </c>
      <c r="E355" s="2" t="inlineStr">
        <is>
          <t>生理与分子机制</t>
        </is>
      </c>
      <c r="F355" s="2" t="inlineStr">
        <is>
          <t>采收贮藏</t>
        </is>
      </c>
      <c r="G355" s="2" t="inlineStr">
        <is>
          <t>胚与整粒种子失水速率不同</t>
        </is>
      </c>
      <c r="H355" s="2" t="inlineStr">
        <is>
          <t>硅胶干燥第1天胚（胚轴）含水量下降54.1%（1.59→0.73 gH2O/g dw），而整粒种子仅下降34.7%，胚轴与胚乳失水速率不同，且各天数间降幅波动（15.1%-24.2%），提示胚内存在尖峰水、宽峰水、不冻水等多种水分类型，含水量监测应以胚为准</t>
        </is>
      </c>
    </row>
    <row r="356">
      <c r="A356" s="2" t="n">
        <v>355</v>
      </c>
      <c r="B356" s="2" t="n">
        <v>74</v>
      </c>
      <c r="C356" s="2" t="inlineStr">
        <is>
          <t>074_2020_Development of Chinese chestnut whiskey_ yeast strains isolation, fermentation system optimizati.md</t>
        </is>
      </c>
      <c r="D356" s="2" t="inlineStr">
        <is>
          <t>板栗威士忌的开发：酵母菌株分离、发酵体系优化与放大发酵</t>
        </is>
      </c>
      <c r="E356" s="2" t="inlineStr">
        <is>
          <t>加工与贮藏</t>
        </is>
      </c>
      <c r="F356" s="2" t="inlineStr">
        <is>
          <t>加工利用</t>
        </is>
      </c>
      <c r="G356" s="2" t="inlineStr">
        <is>
          <t>板栗威士忌酿造工艺路线</t>
        </is>
      </c>
      <c r="H356" s="2" t="inlineStr">
        <is>
          <t>板栗仁:麦芽:糯米按5:3:2配料，糯米浸泡2 h，蒸煮30 min，按料水比1:3打浆；α-淀粉酶10 U/g（pH 5.5、90℃、30 min）液化，糖化酶200 U/g（pH 4.5、60℃、6 h）并加粉碎麦芽糖化；调pH 5.0、113℃灭菌10 min后30℃发酵6天，夏朗德壶式蒸馏锅两次蒸馏（馏出酒精度低于0.5% w/v停止），得约60% vol板栗威士忌原酒</t>
        </is>
      </c>
    </row>
    <row r="357">
      <c r="A357" s="2" t="n">
        <v>356</v>
      </c>
      <c r="B357" s="2" t="n">
        <v>74</v>
      </c>
      <c r="C357" s="2" t="inlineStr">
        <is>
          <t>074_2020_Development of Chinese chestnut whiskey_ yeast strains isolation, fermentation system optimizati.md</t>
        </is>
      </c>
      <c r="D357" s="2" t="inlineStr">
        <is>
          <t>板栗威士忌的开发：酵母菌株分离、发酵体系优化与放大发酵</t>
        </is>
      </c>
      <c r="E357" s="2" t="inlineStr">
        <is>
          <t>加工与贮藏</t>
        </is>
      </c>
      <c r="F357" s="2" t="inlineStr">
        <is>
          <t>加工利用</t>
        </is>
      </c>
      <c r="G357" s="2" t="inlineStr">
        <is>
          <t>酿酒酵母与产香酵母混菌发酵组合</t>
        </is>
      </c>
      <c r="H357" s="2" t="inlineStr">
        <is>
          <t>酿酒酵母HN006发酵力最强：乙醇90.220±0.874 g/L、糖利用率99.5%、得率0.467±0.043 g/g、体积生产强度0.752 g/L/h；异常威克汉姆酵母（Wickerhamomyces anomalus）HN010产香最强：酯类总量16.456 µg/mL（为HN006的3.22倍），乙酸乙酯、乙酸苯乙酯（玫瑰香）、己酸乙酯（苹果皮香）及月桂酸乙酯等高级脂肪酸乙酯含量高，感官总分7.12最高；两菌共培养兼顾产酒效率与风味复杂度，为板栗酒混合发酵的首次报道</t>
        </is>
      </c>
    </row>
    <row r="358">
      <c r="A358" s="2" t="n">
        <v>357</v>
      </c>
      <c r="B358" s="2" t="n">
        <v>74</v>
      </c>
      <c r="C358" s="2" t="inlineStr">
        <is>
          <t>074_2020_Development of Chinese chestnut whiskey_ yeast strains isolation, fermentation system optimizati.md</t>
        </is>
      </c>
      <c r="D358" s="2" t="inlineStr">
        <is>
          <t>板栗威士忌的开发：酵母菌株分离、发酵体系优化与放大发酵</t>
        </is>
      </c>
      <c r="E358" s="2" t="inlineStr">
        <is>
          <t>加工与贮藏</t>
        </is>
      </c>
      <c r="F358" s="2" t="inlineStr">
        <is>
          <t>加工利用</t>
        </is>
      </c>
      <c r="G358" s="2" t="inlineStr">
        <is>
          <t>板栗酒发酵最优工艺参数</t>
        </is>
      </c>
      <c r="H358" s="2" t="inlineStr">
        <is>
          <t>混合接种量6%（v/v）时乙醇浓度与感官评分同时达到最高（乙醇71.212±2.162 g/L、感官7.510±0.230），超过6%后乙醇产量下降；最佳比例HN006:HN010=1:2（v/v）；酵母浸粉6 g/L时乙醇92.587±3.872 g/L、感官评分8.910±0.300最高，过量（10 g/L）反而抑制（乙醇降至78.198 g/L）；混粮发酵（栗:麦:糯=5:3:2）优于板栗单粮发酵</t>
        </is>
      </c>
    </row>
    <row r="359">
      <c r="A359" s="2" t="n">
        <v>358</v>
      </c>
      <c r="B359" s="2" t="n">
        <v>74</v>
      </c>
      <c r="C359" s="2" t="inlineStr">
        <is>
          <t>074_2020_Development of Chinese chestnut whiskey_ yeast strains isolation, fermentation system optimizati.md</t>
        </is>
      </c>
      <c r="D359" s="2" t="inlineStr">
        <is>
          <t>板栗威士忌的开发：酵母菌株分离、发酵体系优化与放大发酵</t>
        </is>
      </c>
      <c r="E359" s="2" t="inlineStr">
        <is>
          <t>加工与贮藏</t>
        </is>
      </c>
      <c r="F359" s="2" t="inlineStr">
        <is>
          <t>产业市场</t>
        </is>
      </c>
      <c r="G359" s="2" t="inlineStr">
        <is>
          <t>1000 L中试放大发酵验证</t>
        </is>
      </c>
      <c r="H359" s="2" t="inlineStr">
        <is>
          <t>在安徽迎驾酒厂1000 L罐（装液900 L、30℃、100 rpm）放大：12 h滞后期后糖耗与产乙醇同步上升，HN006、HN010分别于48 h、36 h达最大菌量（2.065×10^8、4.201×10^8 CFU/mL），最高乙醇浓度190.56 g/L、得率0.487 g/g，3天完成3批且终乙醇浓度、体积生产强度与得率均稳定，证明适合工业化混菌发酵</t>
        </is>
      </c>
    </row>
    <row r="360">
      <c r="A360" s="2" t="n">
        <v>359</v>
      </c>
      <c r="B360" s="2" t="n">
        <v>74</v>
      </c>
      <c r="C360" s="2" t="inlineStr">
        <is>
          <t>074_2020_Development of Chinese chestnut whiskey_ yeast strains isolation, fermentation system optimizati.md</t>
        </is>
      </c>
      <c r="D360" s="2" t="inlineStr">
        <is>
          <t>板栗威士忌的开发：酵母菌株分离、发酵体系优化与放大发酵</t>
        </is>
      </c>
      <c r="E360" s="2" t="inlineStr">
        <is>
          <t>加工与贮藏</t>
        </is>
      </c>
      <c r="F360" s="2" t="inlineStr">
        <is>
          <t>加工利用</t>
        </is>
      </c>
      <c r="G360" s="2" t="inlineStr">
        <is>
          <t>产香酵母的香气特征谱</t>
        </is>
      </c>
      <c r="H360" s="2" t="inlineStr">
        <is>
          <t>HN010（异常威克汉姆酵母）呈苹果与玫瑰香气（强度+++最强）；HN002/HN004（毕赤酵母Pichia kluyveri）香蕉香，HN003（Trichosporon asahii）菠萝香，HN008（克鲁维酵母Kluyveromyces lactis）草莓香，HN013（Galactomyces geotrichum）奶油香，HN011/HN014奶酪香，HN001/HN005（汉逊酵母Hanseniaspora vineae）呈令人不悦的酸味，可为果酒增香菌种选择提供参考</t>
        </is>
      </c>
    </row>
    <row r="361">
      <c r="A361" s="2" t="n">
        <v>360</v>
      </c>
      <c r="B361" s="2" t="n">
        <v>74</v>
      </c>
      <c r="C361" s="2" t="inlineStr">
        <is>
          <t>074_2020_Development of Chinese chestnut whiskey_ yeast strains isolation, fermentation system optimizati.md</t>
        </is>
      </c>
      <c r="D361" s="2" t="inlineStr">
        <is>
          <t>板栗威士忌的开发：酵母菌株分离、发酵体系优化与放大发酵</t>
        </is>
      </c>
      <c r="E361" s="2" t="inlineStr">
        <is>
          <t>加工与贮藏</t>
        </is>
      </c>
      <c r="F361" s="2" t="inlineStr">
        <is>
          <t>产业市场</t>
        </is>
      </c>
      <c r="G361" s="2" t="inlineStr">
        <is>
          <t>板栗开发威士忌的产业动因</t>
        </is>
      </c>
      <c r="H361" s="2" t="inlineStr">
        <is>
          <t>板栗淀粉含量高适于威士忌酿造，但含水约50%（湿基）、季节性强，贮藏中易发芽、霉变、虫蛀；现有糖炒栗子等加工方式经济效益有限，多地存在卖难现象，开发板栗酒等高附加值产品是提升产业效益的迫切需求</t>
        </is>
      </c>
    </row>
    <row r="362">
      <c r="A362" s="2" t="n">
        <v>361</v>
      </c>
      <c r="B362" s="2" t="n">
        <v>75</v>
      </c>
      <c r="C362" s="2" t="inlineStr">
        <is>
          <t>075_2020_Development of Chinese Chestnut Whiskey_ Yeast Strains Isolation, Fermentation System Optimizati.md</t>
        </is>
      </c>
      <c r="D362" s="2" t="inlineStr">
        <is>
          <t>板栗威士忌的开发：酵母菌株分离、发酵体系优化与放大发酵</t>
        </is>
      </c>
      <c r="E362" s="2" t="inlineStr">
        <is>
          <t>加工与贮藏</t>
        </is>
      </c>
      <c r="F362" s="2" t="inlineStr">
        <is>
          <t>加工利用</t>
        </is>
      </c>
      <c r="G362" s="2" t="inlineStr">
        <is>
          <t>板栗威士忌发酵菌株的保藏与鉴定</t>
        </is>
      </c>
      <c r="H362" s="2" t="inlineStr">
        <is>
          <t>核心菌株已公开保藏、可合法获取：酿酒酵母HN006保藏号CICC1035，产香酵母HN010（异常威克汉姆酵母Wickerhamomyces anomalus）保藏号CICC1783（中国工业微生物菌种保藏管理中心）；16株分离酵母的26S rRNA D1/D2序列GenBank登录号为MW076944-MW076959，分属8个属</t>
        </is>
      </c>
    </row>
    <row r="363">
      <c r="A363" s="2" t="n">
        <v>362</v>
      </c>
      <c r="B363" s="2" t="n">
        <v>75</v>
      </c>
      <c r="C363" s="2" t="inlineStr">
        <is>
          <t>075_2020_Development of Chinese Chestnut Whiskey_ Yeast Strains Isolation, Fermentation System Optimizati.md</t>
        </is>
      </c>
      <c r="D363" s="2" t="inlineStr">
        <is>
          <t>板栗威士忌的开发：酵母菌株分离、发酵体系优化与放大发酵</t>
        </is>
      </c>
      <c r="E363" s="2" t="inlineStr">
        <is>
          <t>加工与贮藏</t>
        </is>
      </c>
      <c r="F363" s="2" t="inlineStr">
        <is>
          <t>加工利用</t>
        </is>
      </c>
      <c r="G363" s="2" t="inlineStr">
        <is>
          <t>板栗威士忌酿造工艺与原料配比</t>
        </is>
      </c>
      <c r="H363" s="2" t="inlineStr">
        <is>
          <t>最优原料配比板栗:麦芽:糯米=5:3:2（w/w/w），混粮发酵的乙醇浓度与感官评分均优于板栗单粮发酵；蒸煮30 min、料水比1:3，α-淀粉酶（10 U/g、pH 5.5、90℃、30 min）与糖化酶（200 U/g、pH 4.5、60℃、6 h）两段酶法糖化，pH 5.0、30℃发酵6天，壶式蒸馏锅双重蒸馏得60% vol原酒</t>
        </is>
      </c>
    </row>
    <row r="364">
      <c r="A364" s="2" t="n">
        <v>363</v>
      </c>
      <c r="B364" s="2" t="n">
        <v>75</v>
      </c>
      <c r="C364" s="2" t="inlineStr">
        <is>
          <t>075_2020_Development of Chinese Chestnut Whiskey_ Yeast Strains Isolation, Fermentation System Optimizati.md</t>
        </is>
      </c>
      <c r="D364" s="2" t="inlineStr">
        <is>
          <t>板栗威士忌的开发：酵母菌株分离、发酵体系优化与放大发酵</t>
        </is>
      </c>
      <c r="E364" s="2" t="inlineStr">
        <is>
          <t>加工与贮藏</t>
        </is>
      </c>
      <c r="F364" s="2" t="inlineStr">
        <is>
          <t>加工利用</t>
        </is>
      </c>
      <c r="G364" s="2" t="inlineStr">
        <is>
          <t>混菌发酵最优工艺参数</t>
        </is>
      </c>
      <c r="H364" s="2" t="inlineStr">
        <is>
          <t>混合接种量6%（v/v）、HN006:HN010=1:2（v/v）、酵母浸粉6 g/L时效果最佳：乙醇92.587±3.872 g/L、感官评分8.910±0.300；接种量增至12%或酵母浸粉过量（10 g/L）均使乙醇产量下降（78.198 g/L），适量氮源促产香、过量促菌体生长而不利终产物形成</t>
        </is>
      </c>
    </row>
    <row r="365">
      <c r="A365" s="2" t="n">
        <v>364</v>
      </c>
      <c r="B365" s="2" t="n">
        <v>75</v>
      </c>
      <c r="C365" s="2" t="inlineStr">
        <is>
          <t>075_2020_Development of Chinese Chestnut Whiskey_ Yeast Strains Isolation, Fermentation System Optimizati.md</t>
        </is>
      </c>
      <c r="D365" s="2" t="inlineStr">
        <is>
          <t>板栗威士忌的开发：酵母菌株分离、发酵体系优化与放大发酵</t>
        </is>
      </c>
      <c r="E365" s="2" t="inlineStr">
        <is>
          <t>加工与贮藏</t>
        </is>
      </c>
      <c r="F365" s="2" t="inlineStr">
        <is>
          <t>加工利用</t>
        </is>
      </c>
      <c r="G365" s="2" t="inlineStr">
        <is>
          <t>种子扩培与1000 L中试工艺</t>
        </is>
      </c>
      <c r="H365" s="2" t="inlineStr">
        <is>
          <t>逐级扩培流程：YEPD斜面→250 mL摇瓶→5个500 mL摇瓶→10 L罐（接种10%）→150 L罐（100 L培养基），10 L与150 L级均为30℃、300 rpm、VVM 4.0、24 h；随后按6%接种量转入1000 L罐（装液900 L、30℃、100 rpm），HN006与HN010分别于48 h和36 h达最大菌量（2.065×10^8、4.201×10^8 CFU/mL），最高乙醇浓度190.56 g/L、得率0.487 g/g，3天3批关键参数稳定，具备工业化条件</t>
        </is>
      </c>
    </row>
    <row r="366">
      <c r="A366" s="2" t="n">
        <v>365</v>
      </c>
      <c r="B366" s="2" t="n">
        <v>75</v>
      </c>
      <c r="C366" s="2" t="inlineStr">
        <is>
          <t>075_2020_Development of Chinese Chestnut Whiskey_ Yeast Strains Isolation, Fermentation System Optimizati.md</t>
        </is>
      </c>
      <c r="D366" s="2" t="inlineStr">
        <is>
          <t>板栗威士忌的开发：酵母菌株分离、发酵体系优化与放大发酵</t>
        </is>
      </c>
      <c r="E366" s="2" t="inlineStr">
        <is>
          <t>加工与贮藏</t>
        </is>
      </c>
      <c r="F366" s="2" t="inlineStr">
        <is>
          <t>加工利用</t>
        </is>
      </c>
      <c r="G366" s="2" t="inlineStr">
        <is>
          <t>非酿酒酵母共培养的增香机理</t>
        </is>
      </c>
      <c r="H366" s="2" t="inlineStr">
        <is>
          <t>纯酿酒酵母发酵虽产酒率高但导致威士忌风味同质化；非酿酒酵母（如HN010）发酵中可产生醇类、酯类、酸类、烷烃、芳香烃、酮类等多种代谢物增强风味：HN010挥发酸14.721 µg/mL、酯类16.456 µg/mL（乙酸乙酯6.014、乙酸苯乙酯0.464、己酸乙酯0.489 µg/mL及月桂酸/棕榈酸/油酸/亚油酸乙酯等余味贡献酯），酯类含量为酿酒酵母HN006的3.22倍，混菌发酵首次用于板栗酒</t>
        </is>
      </c>
    </row>
    <row r="367">
      <c r="A367" s="2" t="n">
        <v>366</v>
      </c>
      <c r="B367" s="2" t="n">
        <v>75</v>
      </c>
      <c r="C367" s="2" t="inlineStr">
        <is>
          <t>075_2020_Development of Chinese Chestnut Whiskey_ Yeast Strains Isolation, Fermentation System Optimizati.md</t>
        </is>
      </c>
      <c r="D367" s="2" t="inlineStr">
        <is>
          <t>板栗威士忌的开发：酵母菌株分离、发酵体系优化与放大发酵</t>
        </is>
      </c>
      <c r="E367" s="2" t="inlineStr">
        <is>
          <t>加工与贮藏</t>
        </is>
      </c>
      <c r="F367" s="2" t="inlineStr">
        <is>
          <t>产业市场</t>
        </is>
      </c>
      <c r="G367" s="2" t="inlineStr">
        <is>
          <t>板栗蒸馏酒的产业背景与价值</t>
        </is>
      </c>
      <c r="H367" s="2" t="inlineStr">
        <is>
          <t>中国板栗栽培约3000年、产量逐年增加，但高含水（约50%湿基）、季节性强致发芽霉变虫蛀、贮藏困难，且糖炒栗子等传统加工经济性有限、产区卖难频发；板栗淀粉含量高适合威士忌酿造，而板栗威士忌在国内外市场均稀缺，是高附加值深加工方向</t>
        </is>
      </c>
    </row>
    <row r="368">
      <c r="A368" s="2" t="n">
        <v>367</v>
      </c>
      <c r="B368" s="2" t="n">
        <v>76</v>
      </c>
      <c r="C368" s="2" t="inlineStr">
        <is>
          <t>076_2020_Effects of GABA and Vigabatrin on the Germination of Chinese Chestnut Recalcitrant Seeds and Its.md</t>
        </is>
      </c>
      <c r="D368" s="2" t="inlineStr">
        <is>
          <t>γ-氨基丁酸（GABA）和氨己烯酸（VGB）对中国板栗顽拗性种子萌发的影响及其对种子休眠与贮藏的启示</t>
        </is>
      </c>
      <c r="E368" s="2" t="inlineStr">
        <is>
          <t>生理与分子机制</t>
        </is>
      </c>
      <c r="F368" s="2" t="inlineStr">
        <is>
          <t>采收贮藏</t>
        </is>
      </c>
      <c r="G368" s="2" t="inlineStr">
        <is>
          <t>内源GABA水平与种子萌发</t>
        </is>
      </c>
      <c r="H368" s="2" t="inlineStr">
        <is>
          <t>未处理板栗种子萌发过程中内源GABA由185.5 µg/g FW升至48 h的767.3 µg/g FW（增加4倍以上），120 h降至422.6；外源10 mM GABA和100 µM VGB处理使48 h内源GABA再下降22.1–23.5%，两种处理均显著抑制萌发，萌发率较对照分别降低11.0–17.2%和17.7–21.1%，表明GABA水平升高可能抑制板栗种子萌发</t>
        </is>
      </c>
    </row>
    <row r="369">
      <c r="A369" s="2" t="n">
        <v>368</v>
      </c>
      <c r="B369" s="2" t="n">
        <v>76</v>
      </c>
      <c r="C369" s="2" t="inlineStr">
        <is>
          <t>076_2020_Effects of GABA and Vigabatrin on the Germination of Chinese Chestnut Recalcitrant Seeds and Its.md</t>
        </is>
      </c>
      <c r="D369" s="2" t="inlineStr">
        <is>
          <t>γ-氨基丁酸（GABA）和氨己烯酸（VGB）对中国板栗顽拗性种子萌发的影响及其对种子休眠与贮藏的启示</t>
        </is>
      </c>
      <c r="E369" s="2" t="inlineStr">
        <is>
          <t>生理与分子机制</t>
        </is>
      </c>
      <c r="F369" s="2" t="inlineStr">
        <is>
          <t>采收贮藏</t>
        </is>
      </c>
      <c r="G369" s="2" t="inlineStr">
        <is>
          <t>GABA参与板栗种子休眠调控</t>
        </is>
      </c>
      <c r="H369" s="2" t="inlineStr">
        <is>
          <t>研究提出板栗种子内源GABA可能是休眠相关物质，通过改变碳氮代谢平衡抑制萌发，高GABA水平或有助于种栗越冬贮藏、防止贮藏期提前发芽，为控制栗果贮藏中萌发提供新思路</t>
        </is>
      </c>
    </row>
    <row r="370">
      <c r="A370" s="2" t="n">
        <v>369</v>
      </c>
      <c r="B370" s="2" t="n">
        <v>76</v>
      </c>
      <c r="C370" s="2" t="inlineStr">
        <is>
          <t>076_2020_Effects of GABA and Vigabatrin on the Germination of Chinese Chestnut Recalcitrant Seeds and Its.md</t>
        </is>
      </c>
      <c r="D370" s="2" t="inlineStr">
        <is>
          <t>γ-氨基丁酸（GABA）和氨己烯酸（VGB）对中国板栗顽拗性种子萌发的影响及其对种子休眠与贮藏的启示</t>
        </is>
      </c>
      <c r="E370" s="2" t="inlineStr">
        <is>
          <t>生理与分子机制</t>
        </is>
      </c>
      <c r="F370" s="2" t="inlineStr">
        <is>
          <t>基础研究</t>
        </is>
      </c>
      <c r="G370" s="2" t="inlineStr">
        <is>
          <t>GABA处理下的碳氮代谢变化</t>
        </is>
      </c>
      <c r="H370" s="2" t="inlineStr">
        <is>
          <t>GABA/VGB处理显著诱导H2O2积累（0 h分别增加94.0%和163.0%）；120 h时柠檬酸下降34.2%/65.8%、苹果酸升高1.8/5.1倍；48 h时Ser、His、Arg、Thr、Pro等12种游离氨基酸减少，淀粉含量无显著变化，说明萌发受阻源于碳氮代谢失衡和能量供应不足</t>
        </is>
      </c>
    </row>
    <row r="371">
      <c r="A371" s="2" t="n">
        <v>370</v>
      </c>
      <c r="B371" s="2" t="n">
        <v>76</v>
      </c>
      <c r="C371" s="2" t="inlineStr">
        <is>
          <t>076_2020_Effects of GABA and Vigabatrin on the Germination of Chinese Chestnut Recalcitrant Seeds and Its.md</t>
        </is>
      </c>
      <c r="D371" s="2" t="inlineStr">
        <is>
          <t>γ-氨基丁酸（GABA）和氨己烯酸（VGB）对中国板栗顽拗性种子萌发的影响及其对种子休眠与贮藏的启示</t>
        </is>
      </c>
      <c r="E371" s="2" t="inlineStr">
        <is>
          <t>生理与分子机制</t>
        </is>
      </c>
      <c r="F371" s="2" t="inlineStr">
        <is>
          <t>加工利用</t>
        </is>
      </c>
      <c r="G371" s="2" t="inlineStr">
        <is>
          <t>板栗是GABA功能性食品原料</t>
        </is>
      </c>
      <c r="H371" s="2" t="inlineStr">
        <is>
          <t>板栗种子富含GABA，萌发前48 h内源GABA可达767.3 µg/g FW，作者提出通过短期发芽诱导可开发GABA富集的功能性板栗食品，类似GABA发芽糙米、发芽小麦等功能食品</t>
        </is>
      </c>
    </row>
    <row r="372">
      <c r="A372" s="2" t="n">
        <v>371</v>
      </c>
      <c r="B372" s="2" t="n">
        <v>76</v>
      </c>
      <c r="C372" s="2" t="inlineStr">
        <is>
          <t>076_2020_Effects of GABA and Vigabatrin on the Germination of Chinese Chestnut Recalcitrant Seeds and Its.md</t>
        </is>
      </c>
      <c r="D372" s="2" t="inlineStr">
        <is>
          <t>γ-氨基丁酸（GABA）和氨己烯酸（VGB）对中国板栗顽拗性种子萌发的影响及其对种子休眠与贮藏的启示</t>
        </is>
      </c>
      <c r="E372" s="2" t="inlineStr">
        <is>
          <t>生理与分子机制</t>
        </is>
      </c>
      <c r="F372" s="2" t="inlineStr">
        <is>
          <t>繁殖育种</t>
        </is>
      </c>
      <c r="G372" s="2" t="inlineStr">
        <is>
          <t>板栗种子休眠与萌发特性参考</t>
        </is>
      </c>
      <c r="H372" s="2" t="inlineStr">
        <is>
          <t>河北迁西'燕山早丰'种子0–1 °C贮藏后沙培，在25 °C(光)/20 °C(暗)循环下第2天不萌发，第5–30天对照萌发率增加27.8–54.8%，体现板栗种子具有休眠性且萌发较慢，育苗催芽需耐心等待或破除休眠</t>
        </is>
      </c>
    </row>
    <row r="373">
      <c r="A373" s="2" t="n">
        <v>372</v>
      </c>
      <c r="B373" s="2" t="n">
        <v>77</v>
      </c>
      <c r="C373" s="2" t="inlineStr">
        <is>
          <t>077_2020_Genetic evidence that Chinese chestnut cultivars in Japan are derived from two divergent genetic.md</t>
        </is>
      </c>
      <c r="D373" s="2" t="inlineStr">
        <is>
          <t>遗传学证据表明日本的板栗品种源自中国两个不同起源的遗传结构</t>
        </is>
      </c>
      <c r="E373" s="2" t="inlineStr">
        <is>
          <t>育种与遗传资源</t>
        </is>
      </c>
      <c r="F373" s="2" t="inlineStr">
        <is>
          <t>品种选择</t>
        </is>
      </c>
      <c r="G373" s="2" t="inlineStr">
        <is>
          <t>中国板栗的两大遗传起源</t>
        </is>
      </c>
      <c r="H373" s="2" t="inlineStr">
        <is>
          <t>116个中国板栗品种分为两群：河北起源群（叶绿体单倍型HAP4为主，坚果小而甜，携带HAP4品种平均果重约7.5 g）和江苏、安徽起源群（HAP3，果较大，平均约12.6 g）；山东品种多为两者混合结构，引种选种时可据此把握品种特点</t>
        </is>
      </c>
    </row>
    <row r="374">
      <c r="A374" s="2" t="n">
        <v>373</v>
      </c>
      <c r="B374" s="2" t="n">
        <v>77</v>
      </c>
      <c r="C374" s="2" t="inlineStr">
        <is>
          <t>077_2020_Genetic evidence that Chinese chestnut cultivars in Japan are derived from two divergent genetic.md</t>
        </is>
      </c>
      <c r="D374" s="2" t="inlineStr">
        <is>
          <t>遗传学证据表明日本的板栗品种源自中国两个不同起源的遗传结构</t>
        </is>
      </c>
      <c r="E374" s="2" t="inlineStr">
        <is>
          <t>育种与遗传资源</t>
        </is>
      </c>
      <c r="F374" s="2" t="inlineStr">
        <is>
          <t>繁殖育种</t>
        </is>
      </c>
      <c r="G374" s="2" t="inlineStr">
        <is>
          <t>板栗品种同物异名现象</t>
        </is>
      </c>
      <c r="H374" s="2" t="inlineStr">
        <is>
          <t>SSR基因型鉴定发现23个同物异名组，如燕山早丰=新庄2号（Syn-6）、燕山短枝=莱阳短枝=莱州短枝=书河短枝=大红袍（Syn-10）、蜂球=炮车2号（Syn-2）、合肥处暑红=双季栗（Syn-1）、华丰=泰安薄壳（Syn-14）等，同名不同名品种可能实为同一基因型，引种和育苗时应注意核实</t>
        </is>
      </c>
    </row>
    <row r="375">
      <c r="A375" s="2" t="n">
        <v>374</v>
      </c>
      <c r="B375" s="2" t="n">
        <v>77</v>
      </c>
      <c r="C375" s="2" t="inlineStr">
        <is>
          <t>077_2020_Genetic evidence that Chinese chestnut cultivars in Japan are derived from two divergent genetic.md</t>
        </is>
      </c>
      <c r="D375" s="2" t="inlineStr">
        <is>
          <t>遗传学证据表明日本的板栗品种源自中国两个不同起源的遗传结构</t>
        </is>
      </c>
      <c r="E375" s="2" t="inlineStr">
        <is>
          <t>育种与遗传资源</t>
        </is>
      </c>
      <c r="F375" s="2" t="inlineStr">
        <is>
          <t>繁殖育种</t>
        </is>
      </c>
      <c r="G375" s="2" t="inlineStr">
        <is>
          <t>日中杂种板栗品种的亲缘关系</t>
        </is>
      </c>
      <c r="H375" s="2" t="inlineStr">
        <is>
          <t>18个日中杂种品种中16个可推断亲子关系，如Hayashi1=法寺480(中)×笠原早生(日)、Hayashiamaguri=法寺360×鹿爪、山和早生=法寺480×中手丹波；日本主栽品种利平栗(Riheiguri)为日中F1杂种，果重23.9 g、兼具日本栗大果与板栗粉质口感及较好剥皮性，2016年占日本板栗栽培面积7%，虽产量不高但品质受市场高度评价</t>
        </is>
      </c>
    </row>
    <row r="376">
      <c r="A376" s="2" t="n">
        <v>375</v>
      </c>
      <c r="B376" s="2" t="n">
        <v>77</v>
      </c>
      <c r="C376" s="2" t="inlineStr">
        <is>
          <t>077_2020_Genetic evidence that Chinese chestnut cultivars in Japan are derived from two divergent genetic.md</t>
        </is>
      </c>
      <c r="D376" s="2" t="inlineStr">
        <is>
          <t>遗传学证据表明日本的板栗品种源自中国两个不同起源的遗传结构</t>
        </is>
      </c>
      <c r="E376" s="2" t="inlineStr">
        <is>
          <t>育种与遗传资源</t>
        </is>
      </c>
      <c r="F376" s="2" t="inlineStr">
        <is>
          <t>品种选择</t>
        </is>
      </c>
      <c r="G376" s="2" t="inlineStr">
        <is>
          <t>中日板栗果实性状差异</t>
        </is>
      </c>
      <c r="H376" s="2" t="inlineStr">
        <is>
          <t>日本栗平均单果重24.7 g（11.9–40.9 g）、平均采收期9月18日；日中杂种20.0 g、9月17日；在日中国栗10.9 g（5.2–17.6 g）、采收期偏晚（平均9月29日）；日本栗可增大果重提早采收，中国板栗贡献易剥涩皮和品质风味，杂交育种可互补利用</t>
        </is>
      </c>
    </row>
    <row r="377">
      <c r="A377" s="2" t="n">
        <v>376</v>
      </c>
      <c r="B377" s="2" t="n">
        <v>77</v>
      </c>
      <c r="C377" s="2" t="inlineStr">
        <is>
          <t>077_2020_Genetic evidence that Chinese chestnut cultivars in Japan are derived from two divergent genetic.md</t>
        </is>
      </c>
      <c r="D377" s="2" t="inlineStr">
        <is>
          <t>遗传学证据表明日本的板栗品种源自中国两个不同起源的遗传结构</t>
        </is>
      </c>
      <c r="E377" s="2" t="inlineStr">
        <is>
          <t>育种与遗传资源</t>
        </is>
      </c>
      <c r="F377" s="2" t="inlineStr">
        <is>
          <t>基础研究</t>
        </is>
      </c>
      <c r="G377" s="2" t="inlineStr">
        <is>
          <t>栽培板栗遗传多样性低于野生群体</t>
        </is>
      </c>
      <c r="H377" s="2" t="inlineStr">
        <is>
          <t>栽培中国板栗叶绿体单倍型仅4种（HAP3–HAP6），而野生种群达38种以上，证实驯化造成遗传瓶颈；河北品种群观察杂合度最低（0.457）且近交系数为正，人工选择压力较大，遗传育种中需利用江皖及混合结构群体（HE与等位丰富度更高）拓宽遗传基础</t>
        </is>
      </c>
    </row>
    <row r="378">
      <c r="A378" s="2" t="n">
        <v>377</v>
      </c>
      <c r="B378" s="2" t="n">
        <v>77</v>
      </c>
      <c r="C378" s="2" t="inlineStr">
        <is>
          <t>077_2020_Genetic evidence that Chinese chestnut cultivars in Japan are derived from two divergent genetic.md</t>
        </is>
      </c>
      <c r="D378" s="2" t="inlineStr">
        <is>
          <t>遗传学证据表明日本的板栗品种源自中国两个不同起源的遗传结构</t>
        </is>
      </c>
      <c r="E378" s="2" t="inlineStr">
        <is>
          <t>育种与遗传资源</t>
        </is>
      </c>
      <c r="F378" s="2" t="inlineStr">
        <is>
          <t>品种选择</t>
        </is>
      </c>
      <c r="G378" s="2" t="inlineStr">
        <is>
          <t>板栗属两个栽培种的形态区分</t>
        </is>
      </c>
      <c r="H378" s="2" t="inlineStr">
        <is>
          <t>日本栗果大、涩皮粘着不易剥、产量较高；中国板栗果小、涩皮易剥、产量较低，且有黄褐色一年生枝和果顶茸毛两个种的特征，可用于田间区分两物种</t>
        </is>
      </c>
    </row>
    <row r="379">
      <c r="A379" s="2" t="n">
        <v>378</v>
      </c>
      <c r="B379" s="2" t="n">
        <v>78</v>
      </c>
      <c r="C379" s="2" t="inlineStr">
        <is>
          <t>078_2020_Longevity of Chinese Chestnut Correlates with Stable Root Microbiomes.md</t>
        </is>
      </c>
      <c r="D379" s="2" t="inlineStr">
        <is>
          <t>板栗的长寿与稳定的根际微生物组相关</t>
        </is>
      </c>
      <c r="E379" s="2" t="inlineStr">
        <is>
          <t>栽培与土壤管理</t>
        </is>
      </c>
      <c r="F379" s="2" t="inlineStr">
        <is>
          <t>土壤肥料</t>
        </is>
      </c>
      <c r="G379" s="2" t="inlineStr">
        <is>
          <t>根际微生物组与板栗树体寿命</t>
        </is>
      </c>
      <c r="H379" s="2" t="inlineStr">
        <is>
          <t>该预印本标题指出板栗树体寿命与稳定的根部微生物组相关，提示根际微生物群落的稳定性可能是影响板栗长寿与树体健康的重要因素之一</t>
        </is>
      </c>
    </row>
    <row r="380">
      <c r="A380" s="2" t="n">
        <v>379</v>
      </c>
      <c r="B380" s="2" t="n">
        <v>78</v>
      </c>
      <c r="C380" s="2" t="inlineStr">
        <is>
          <t>078_2020_Longevity of Chinese Chestnut Correlates with Stable Root Microbiomes.md</t>
        </is>
      </c>
      <c r="D380" s="2" t="inlineStr">
        <is>
          <t>板栗的长寿与稳定的根际微生物组相关</t>
        </is>
      </c>
      <c r="E380" s="2" t="inlineStr">
        <is>
          <t>栽培与土壤管理</t>
        </is>
      </c>
      <c r="F380" s="2" t="inlineStr">
        <is>
          <t>基础研究</t>
        </is>
      </c>
      <c r="G380" s="2" t="inlineStr">
        <is>
          <t>研究团队与合作单位</t>
        </is>
      </c>
      <c r="H380" s="2" t="inlineStr">
        <is>
          <t>研究由荷兰瓦赫宁根大学与研究中心Cheng Xu等与北京市农林科学院林业果树研究所、北京农学院合作完成，是中国板栗根系微生物组方向的国际合作研究</t>
        </is>
      </c>
    </row>
    <row r="381">
      <c r="A381" s="2" t="n">
        <v>380</v>
      </c>
      <c r="B381" s="2" t="n">
        <v>78</v>
      </c>
      <c r="C381" s="2" t="inlineStr">
        <is>
          <t>078_2020_Longevity of Chinese Chestnut Correlates with Stable Root Microbiomes.md</t>
        </is>
      </c>
      <c r="D381" s="2" t="inlineStr">
        <is>
          <t>板栗的长寿与稳定的根际微生物组相关</t>
        </is>
      </c>
      <c r="E381" s="2" t="inlineStr">
        <is>
          <t>栽培与土壤管理</t>
        </is>
      </c>
      <c r="F381" s="2" t="inlineStr">
        <is>
          <t>基础研究</t>
        </is>
      </c>
      <c r="G381" s="2" t="inlineStr">
        <is>
          <t>文献可用性说明</t>
        </is>
      </c>
      <c r="H381" s="2" t="inlineStr">
        <is>
          <t>该文为Research Square预印本（本文件为v2版，2020-06-30发布，DOI 10.21203/rs.3.rs-36590/v2），作者已要求撤回预印本，摘要与正文数据均无法获取，具体结论不可考，使用时不可引用其具体数据</t>
        </is>
      </c>
    </row>
    <row r="382">
      <c r="A382" s="2" t="n">
        <v>381</v>
      </c>
      <c r="B382" s="2" t="n">
        <v>79</v>
      </c>
      <c r="C382" s="2" t="inlineStr">
        <is>
          <t>079_2020_Longevity of Chinese Chestnut Correlates with Stable Root Microbiomes.md</t>
        </is>
      </c>
      <c r="D382" s="2" t="inlineStr">
        <is>
          <t>板栗的长寿与稳定的根际微生物组相关</t>
        </is>
      </c>
      <c r="E382" s="2" t="inlineStr">
        <is>
          <t>栽培与土壤管理</t>
        </is>
      </c>
      <c r="F382" s="2" t="inlineStr">
        <is>
          <t>土壤肥料</t>
        </is>
      </c>
      <c r="G382" s="2" t="inlineStr">
        <is>
          <t>根际微生物组与板栗树体寿命</t>
        </is>
      </c>
      <c r="H382" s="2" t="inlineStr">
        <is>
          <t>该预印本标题指出板栗树体寿命与稳定的根部微生物组相关，提示根际微生物群落的稳定性可能是影响板栗长寿与树体健康的重要因素之一</t>
        </is>
      </c>
    </row>
    <row r="383">
      <c r="A383" s="2" t="n">
        <v>382</v>
      </c>
      <c r="B383" s="2" t="n">
        <v>79</v>
      </c>
      <c r="C383" s="2" t="inlineStr">
        <is>
          <t>079_2020_Longevity of Chinese Chestnut Correlates with Stable Root Microbiomes.md</t>
        </is>
      </c>
      <c r="D383" s="2" t="inlineStr">
        <is>
          <t>板栗的长寿与稳定的根际微生物组相关</t>
        </is>
      </c>
      <c r="E383" s="2" t="inlineStr">
        <is>
          <t>栽培与土壤管理</t>
        </is>
      </c>
      <c r="F383" s="2" t="inlineStr">
        <is>
          <t>基础研究</t>
        </is>
      </c>
      <c r="G383" s="2" t="inlineStr">
        <is>
          <t>研究团队与合作单位</t>
        </is>
      </c>
      <c r="H383" s="2" t="inlineStr">
        <is>
          <t>研究由荷兰瓦赫宁根大学与研究中心Cheng Xu等与北京市农林科学院林业果树研究所、北京农学院合作完成，是中国板栗根系微生物组方向的国际合作研究</t>
        </is>
      </c>
    </row>
    <row r="384">
      <c r="A384" s="2" t="n">
        <v>383</v>
      </c>
      <c r="B384" s="2" t="n">
        <v>79</v>
      </c>
      <c r="C384" s="2" t="inlineStr">
        <is>
          <t>079_2020_Longevity of Chinese Chestnut Correlates with Stable Root Microbiomes.md</t>
        </is>
      </c>
      <c r="D384" s="2" t="inlineStr">
        <is>
          <t>板栗的长寿与稳定的根际微生物组相关</t>
        </is>
      </c>
      <c r="E384" s="2" t="inlineStr">
        <is>
          <t>栽培与土壤管理</t>
        </is>
      </c>
      <c r="F384" s="2" t="inlineStr">
        <is>
          <t>基础研究</t>
        </is>
      </c>
      <c r="G384" s="2" t="inlineStr">
        <is>
          <t>文献可用性说明</t>
        </is>
      </c>
      <c r="H384" s="2" t="inlineStr">
        <is>
          <t>该文为Research Square预印本（本文件为v1版，2020-06-24发布，DOI 10.21203/rs.3.rs-36590/v1），与078号文件（v2版）为同一预印本，作者已要求撤回，摘要与正文数据均无法获取，使用时不可引用其具体数据</t>
        </is>
      </c>
    </row>
    <row r="385">
      <c r="A385" s="2" t="n">
        <v>384</v>
      </c>
      <c r="B385" s="2" t="n">
        <v>80</v>
      </c>
      <c r="C385" s="2" t="inlineStr">
        <is>
          <t>080_2020_Phytochemical Profiles and Cellular Antioxidant Activities in Chestnut (Castanea mollissima BL.).md</t>
        </is>
      </c>
      <c r="D385" s="2" t="inlineStr">
        <is>
          <t>五个板栗（Castanea mollissima BL.）品种果仁的植物化学成分谱与细胞抗氧化活性</t>
        </is>
      </c>
      <c r="E385" s="2" t="inlineStr">
        <is>
          <t>生物活性与功效</t>
        </is>
      </c>
      <c r="F385" s="2" t="inlineStr">
        <is>
          <t>品种选择</t>
        </is>
      </c>
      <c r="G385" s="2" t="inlineStr">
        <is>
          <t>五品种总酚与黄酮含量差异</t>
        </is>
      </c>
      <c r="H385" s="2" t="inlineStr">
        <is>
          <t>5个中国板栗品种果仁总酚42.8–58.6 mg GAE/100 g FW，'Fyou'最高（58.60±4.20）、蜂球最低（42.77±1.2）；总黄酮122–218 mg CE/100 g FW，'Heguoyihao'最高（217.6±9.7），品种间差异显著（p&lt;0.05），挑选高酚高黄酮品种可参考此排序</t>
        </is>
      </c>
    </row>
    <row r="386">
      <c r="A386" s="2" t="n">
        <v>385</v>
      </c>
      <c r="B386" s="2" t="n">
        <v>80</v>
      </c>
      <c r="C386" s="2" t="inlineStr">
        <is>
          <t>080_2020_Phytochemical Profiles and Cellular Antioxidant Activities in Chestnut (Castanea mollissima BL.).md</t>
        </is>
      </c>
      <c r="D386" s="2" t="inlineStr">
        <is>
          <t>五个板栗（Castanea mollissima BL.）品种果仁的植物化学成分谱与细胞抗氧化活性</t>
        </is>
      </c>
      <c r="E386" s="2" t="inlineStr">
        <is>
          <t>生物活性与功效</t>
        </is>
      </c>
      <c r="F386" s="2" t="inlineStr">
        <is>
          <t>营养功效</t>
        </is>
      </c>
      <c r="G386" s="2" t="inlineStr">
        <is>
          <t>结合态酚不可忽略</t>
        </is>
      </c>
      <c r="H386" s="2" t="inlineStr">
        <is>
          <t>结合态酚占板栗总酚的31–43%（15.4–19.8 mg GAE/100 g FW），游离态占57–69%，游离黄酮占总黄酮的77%；以往仅测游离态多酚明显低估板栗的营养价值，蒸制等加工还会进一步影响其含量</t>
        </is>
      </c>
    </row>
    <row r="387">
      <c r="A387" s="2" t="n">
        <v>386</v>
      </c>
      <c r="B387" s="2" t="n">
        <v>80</v>
      </c>
      <c r="C387" s="2" t="inlineStr">
        <is>
          <t>080_2020_Phytochemical Profiles and Cellular Antioxidant Activities in Chestnut (Castanea mollissima BL.).md</t>
        </is>
      </c>
      <c r="D387" s="2" t="inlineStr">
        <is>
          <t>五个板栗（Castanea mollissima BL.）品种果仁的植物化学成分谱与细胞抗氧化活性</t>
        </is>
      </c>
      <c r="E387" s="2" t="inlineStr">
        <is>
          <t>生物活性与功效</t>
        </is>
      </c>
      <c r="F387" s="2" t="inlineStr">
        <is>
          <t>营养功效</t>
        </is>
      </c>
      <c r="G387" s="2" t="inlineStr">
        <is>
          <t>板栗果仁主要酚类成分及存在形式</t>
        </is>
      </c>
      <c r="H387" s="2" t="inlineStr">
        <is>
          <t>检出8种酚类物质，绿原酸、没食子酸、槲皮素为主导；绿原酸以结合态为主（约11 mg/100 g，游离仅约4.7），没食子酸以游离态为主（约13 mg/100 g，结合约2.3），槲皮素以结合态为主（约6.1 mg/100 g），7-羟基香豆素仅以结合态存在</t>
        </is>
      </c>
    </row>
    <row r="388">
      <c r="A388" s="2" t="n">
        <v>387</v>
      </c>
      <c r="B388" s="2" t="n">
        <v>80</v>
      </c>
      <c r="C388" s="2" t="inlineStr">
        <is>
          <t>080_2020_Phytochemical Profiles and Cellular Antioxidant Activities in Chestnut (Castanea mollissima BL.).md</t>
        </is>
      </c>
      <c r="D388" s="2" t="inlineStr">
        <is>
          <t>五个板栗（Castanea mollissima BL.）品种果仁的植物化学成分谱与细胞抗氧化活性</t>
        </is>
      </c>
      <c r="E388" s="2" t="inlineStr">
        <is>
          <t>生物活性与功效</t>
        </is>
      </c>
      <c r="F388" s="2" t="inlineStr">
        <is>
          <t>品种选择</t>
        </is>
      </c>
      <c r="G388" s="2" t="inlineStr">
        <is>
          <t>品种间抗氧化活性比较</t>
        </is>
      </c>
      <c r="H388" s="2" t="inlineStr">
        <is>
          <t>'处暑红'ORAC最高（13.62±1.4 µmol TE/g FW），其次Heguoyihao（12.61±1.5）、Fyou（11.49±1.8），蜂球（9.42±0.6）与大红袍（9.23±0.8）最低；'处暑红'在HepG2细胞抗氧化（CAA）试验中同样表现最佳，且细胞摄取率最高，是抗氧化功能食品的优选品种</t>
        </is>
      </c>
    </row>
    <row r="389">
      <c r="A389" s="2" t="n">
        <v>388</v>
      </c>
      <c r="B389" s="2" t="n">
        <v>80</v>
      </c>
      <c r="C389" s="2" t="inlineStr">
        <is>
          <t>080_2020_Phytochemical Profiles and Cellular Antioxidant Activities in Chestnut (Castanea mollissima BL.).md</t>
        </is>
      </c>
      <c r="D389" s="2" t="inlineStr">
        <is>
          <t>五个板栗（Castanea mollissima BL.）品种果仁的植物化学成分谱与细胞抗氧化活性</t>
        </is>
      </c>
      <c r="E389" s="2" t="inlineStr">
        <is>
          <t>生物活性与功效</t>
        </is>
      </c>
      <c r="F389" s="2" t="inlineStr">
        <is>
          <t>营养功效</t>
        </is>
      </c>
      <c r="G389" s="2" t="inlineStr">
        <is>
          <t>总酚是抗氧化活性的主要贡献者</t>
        </is>
      </c>
      <c r="H389" s="2" t="inlineStr">
        <is>
          <t>总酚含量与ORAC和CAA均显著正相关（No-PBS wash CAA r=0.71，p&lt;0.01），而总黄酮与抗氧化活性无显著相关；游离态组分贡献总ORAC的68–81%，游离组分CAA约为结合组分的6–11倍，评价板栗抗氧化能力应以总酚为首要指标</t>
        </is>
      </c>
    </row>
    <row r="390">
      <c r="A390" s="2" t="n">
        <v>389</v>
      </c>
      <c r="B390" s="2" t="n">
        <v>80</v>
      </c>
      <c r="C390" s="2" t="inlineStr">
        <is>
          <t>080_2020_Phytochemical Profiles and Cellular Antioxidant Activities in Chestnut (Castanea mollissima BL.).md</t>
        </is>
      </c>
      <c r="D390" s="2" t="inlineStr">
        <is>
          <t>五个板栗（Castanea mollissima BL.）品种果仁的植物化学成分谱与细胞抗氧化活性</t>
        </is>
      </c>
      <c r="E390" s="2" t="inlineStr">
        <is>
          <t>生物活性与功效</t>
        </is>
      </c>
      <c r="F390" s="2" t="inlineStr">
        <is>
          <t>基础研究</t>
        </is>
      </c>
      <c r="G390" s="2" t="inlineStr">
        <is>
          <t>中国板栗与欧洲栗酚类谱差异</t>
        </is>
      </c>
      <c r="H390" s="2" t="inlineStr">
        <is>
          <t>中国板栗品种中检出槲皮素、未检出芦丁和儿茶素，而土耳其欧洲栗以香草酸为主且未检出槲皮素，说明中欧两个板栗物种的酚类组成存在明显差异，中国板栗具有独特的植物化学特征</t>
        </is>
      </c>
    </row>
    <row r="391">
      <c r="A391" s="2" t="n">
        <v>390</v>
      </c>
      <c r="B391" s="2" t="n">
        <v>81</v>
      </c>
      <c r="C391" s="2" t="inlineStr">
        <is>
          <t>081_2020_The in vitro and in vivo wound-healing effects of royal jelly derived from Apis mellifera L. dur.md</t>
        </is>
      </c>
      <c r="D391" s="2" t="inlineStr">
        <is>
          <t>中国南方板栗花期与油菜花期意蜂蜂王浆在体外和体内表现出不同的促伤口愈合效应</t>
        </is>
      </c>
      <c r="E391" s="2" t="inlineStr">
        <is>
          <t>生物活性与功效</t>
        </is>
      </c>
      <c r="F391" s="2" t="inlineStr">
        <is>
          <t>营养功效</t>
        </is>
      </c>
      <c r="G391" s="2" t="inlineStr">
        <is>
          <t>板栗花期蜂王浆促进伤口愈合</t>
        </is>
      </c>
      <c r="H391" s="2" t="inlineStr">
        <is>
          <t>板栗(Castanea mollissima)花期采集的蜂王浆可加速大鼠全层皮肤创面愈合，第2-4天愈合速度0.25 cm²/天显著高于对照(p&lt;0.05)；机制为促进角质形成细胞增殖(提高50.9%, p&lt;0.001)和迁移(14.9%)、抑制炎症介质NO产生(46.2%)、促进愈合相关因子TGF-β1分泌(44.7%)</t>
        </is>
      </c>
    </row>
    <row r="392">
      <c r="A392" s="2" t="n">
        <v>391</v>
      </c>
      <c r="B392" s="2" t="n">
        <v>81</v>
      </c>
      <c r="C392" s="2" t="inlineStr">
        <is>
          <t>081_2020_The in vitro and in vivo wound-healing effects of royal jelly derived from Apis mellifera L. dur.md</t>
        </is>
      </c>
      <c r="D392" s="2" t="inlineStr">
        <is>
          <t>中国南方板栗花期与油菜花期意蜂蜂王浆在体外和体内表现出不同的促伤口愈合效应</t>
        </is>
      </c>
      <c r="E392" s="2" t="inlineStr">
        <is>
          <t>生物活性与功效</t>
        </is>
      </c>
      <c r="F392" s="2" t="inlineStr">
        <is>
          <t>营养功效</t>
        </is>
      </c>
      <c r="G392" s="2" t="inlineStr">
        <is>
          <t>不同蜜源蜂王浆功效机制不同</t>
        </is>
      </c>
      <c r="H392" s="2" t="inlineStr">
        <is>
          <t>板栗花期蜂王浆以促细胞增殖迁移和抗NO为主，油菜花期蜂王浆主要通过抑制TNF-α产生(降低21.3%, p&lt;0.001)调节炎症、无明显促增殖迁移作用；两者水溶性组分的抗炎和促生长效果均强于脂溶性组分，提示伤口修复活性成分更可能为水溶性物质</t>
        </is>
      </c>
    </row>
    <row r="393">
      <c r="A393" s="2" t="n">
        <v>392</v>
      </c>
      <c r="B393" s="2" t="n">
        <v>81</v>
      </c>
      <c r="C393" s="2" t="inlineStr">
        <is>
          <t>081_2020_The in vitro and in vivo wound-healing effects of royal jelly derived from Apis mellifera L. dur.md</t>
        </is>
      </c>
      <c r="D393" s="2" t="inlineStr">
        <is>
          <t>中国南方板栗花期与油菜花期意蜂蜂王浆在体外和体内表现出不同的促伤口愈合效应</t>
        </is>
      </c>
      <c r="E393" s="2" t="inlineStr">
        <is>
          <t>生物活性与功效</t>
        </is>
      </c>
      <c r="F393" s="2" t="inlineStr">
        <is>
          <t>加工利用</t>
        </is>
      </c>
      <c r="G393" s="2" t="inlineStr">
        <is>
          <t>板栗蜂王浆水溶性组分最具开发潜力</t>
        </is>
      </c>
      <c r="H393" s="2" t="inlineStr">
        <is>
          <t>板栗蜂王浆水溶性提取物在7.81 μg/ml浓度下对人角质形成细胞划痕愈合率最高达40%；对巨噬细胞RAW264.7在15.63-4000 μg/ml范围无细胞毒性，500-4000 μg/ml还显著促进巨噬细胞生长，是伤口护理产品开发的优选原料</t>
        </is>
      </c>
    </row>
    <row r="394">
      <c r="A394" s="2" t="n">
        <v>393</v>
      </c>
      <c r="B394" s="2" t="n">
        <v>81</v>
      </c>
      <c r="C394" s="2" t="inlineStr">
        <is>
          <t>081_2020_The in vitro and in vivo wound-healing effects of royal jelly derived from Apis mellifera L. dur.md</t>
        </is>
      </c>
      <c r="D394" s="2" t="inlineStr">
        <is>
          <t>中国南方板栗花期与油菜花期意蜂蜂王浆在体外和体内表现出不同的促伤口愈合效应</t>
        </is>
      </c>
      <c r="E394" s="2" t="inlineStr">
        <is>
          <t>生物活性与功效</t>
        </is>
      </c>
      <c r="F394" s="2" t="inlineStr">
        <is>
          <t>产业市场</t>
        </is>
      </c>
      <c r="G394" s="2" t="inlineStr">
        <is>
          <t>板栗花期蜜源产业价值</t>
        </is>
      </c>
      <c r="H394" s="2" t="inlineStr">
        <is>
          <t>本研究为首个不同蜜源蜂王浆促愈合比较研究，证实板栗花期蜂王浆的独特药用价值，提示板栗产区可结合花期发展养蜂采浆，开发高附加值特色蜂产品；未来可针对糖尿病足溃疡、感染性创面等模型进一步拓展应用</t>
        </is>
      </c>
    </row>
    <row r="395">
      <c r="A395" s="2" t="n">
        <v>394</v>
      </c>
      <c r="B395" s="2" t="n">
        <v>82</v>
      </c>
      <c r="C395" s="2" t="inlineStr">
        <is>
          <t>082_2020_Transcriptome Sequencing and Differential Expression Analysis Reveal Molecular Mechanisms for Se.md</t>
        </is>
      </c>
      <c r="D395" s="2" t="inlineStr">
        <is>
          <t>转录组测序与差异表达分析揭示板栗花粉直感效应下种子淀粉积累的分子机制</t>
        </is>
      </c>
      <c r="E395" s="2" t="inlineStr">
        <is>
          <t>生理与分子机制</t>
        </is>
      </c>
      <c r="F395" s="2" t="inlineStr">
        <is>
          <t>品种选择</t>
        </is>
      </c>
      <c r="G395" s="2" t="inlineStr">
        <is>
          <t>花粉直感影响板栗果实大小与品质</t>
        </is>
      </c>
      <c r="H395" s="2" t="inlineStr">
        <is>
          <t>板栗存在明显花粉直感(metaxenia)效应：'永仁早'、'易门1号'给'永丰1号'授粉后代种子在三个发育期均比自花授粉大，糖含量、淀粉含量、蔗糖合酶(SS)和淀粉合酶(SSS)活性也因父本不同而显著差异；建园配置授粉树时应考虑父本品种对果实品质的影响</t>
        </is>
      </c>
    </row>
    <row r="396">
      <c r="A396" s="2" t="n">
        <v>395</v>
      </c>
      <c r="B396" s="2" t="n">
        <v>82</v>
      </c>
      <c r="C396" s="2" t="inlineStr">
        <is>
          <t>082_2020_Transcriptome Sequencing and Differential Expression Analysis Reveal Molecular Mechanisms for Se.md</t>
        </is>
      </c>
      <c r="D396" s="2" t="inlineStr">
        <is>
          <t>转录组测序与差异表达分析揭示板栗花粉直感效应下种子淀粉积累的分子机制</t>
        </is>
      </c>
      <c r="E396" s="2" t="inlineStr">
        <is>
          <t>生理与分子机制</t>
        </is>
      </c>
      <c r="F396" s="2" t="inlineStr">
        <is>
          <t>栽培管理</t>
        </is>
      </c>
      <c r="G396" s="2" t="inlineStr">
        <is>
          <t>异花授粉优于自花授粉</t>
        </is>
      </c>
      <c r="H396" s="2" t="inlineStr">
        <is>
          <t>板栗典型异花授粉、自花授粉结实率低；本研究中异花授粉组合(YFR/YFM)种子淀粉含量高于自花授粉(YFF)，前人研究也表明异花授粉子房中N、糖、淀粉、脂肪和K含量显著高于自花授粉；栗园必须配置授粉树、避免单品种种植</t>
        </is>
      </c>
    </row>
    <row r="397">
      <c r="A397" s="2" t="n">
        <v>396</v>
      </c>
      <c r="B397" s="2" t="n">
        <v>82</v>
      </c>
      <c r="C397" s="2" t="inlineStr">
        <is>
          <t>082_2020_Transcriptome Sequencing and Differential Expression Analysis Reveal Molecular Mechanisms for Se.md</t>
        </is>
      </c>
      <c r="D397" s="2" t="inlineStr">
        <is>
          <t>转录组测序与差异表达分析揭示板栗花粉直感效应下种子淀粉积累的分子机制</t>
        </is>
      </c>
      <c r="E397" s="2" t="inlineStr">
        <is>
          <t>生理与分子机制</t>
        </is>
      </c>
      <c r="F397" s="2" t="inlineStr">
        <is>
          <t>采收贮藏</t>
        </is>
      </c>
      <c r="G397" s="2" t="inlineStr">
        <is>
          <t>淀粉积累关键期与成熟度判断</t>
        </is>
      </c>
      <c r="H397" s="2" t="inlineStr">
        <is>
          <t>板栗种子淀粉积累高峰在授粉后94天（约成熟前最后一个月），淀粉合成的关键酶基因ADP-葡萄糖焦磷酸化酶(EC 2.7.7.27)和颗粒结合淀粉合酶(EC 2.4.1.242)此时高表达；种子颜色越深淀粉含量越高，种色可作为采收获后成熟度参考</t>
        </is>
      </c>
    </row>
    <row r="398">
      <c r="A398" s="2" t="n">
        <v>397</v>
      </c>
      <c r="B398" s="2" t="n">
        <v>82</v>
      </c>
      <c r="C398" s="2" t="inlineStr">
        <is>
          <t>082_2020_Transcriptome Sequencing and Differential Expression Analysis Reveal Molecular Mechanisms for Se.md</t>
        </is>
      </c>
      <c r="D398" s="2" t="inlineStr">
        <is>
          <t>转录组测序与差异表达分析揭示板栗花粉直感效应下种子淀粉积累的分子机制</t>
        </is>
      </c>
      <c r="E398" s="2" t="inlineStr">
        <is>
          <t>生理与分子机制</t>
        </is>
      </c>
      <c r="F398" s="2" t="inlineStr">
        <is>
          <t>品种选择</t>
        </is>
      </c>
      <c r="G398" s="2" t="inlineStr">
        <is>
          <t>云南板栗品种特征</t>
        </is>
      </c>
      <c r="H398" s="2" t="inlineStr">
        <is>
          <t>'永丰1号'为云南永仁县实生选育良种、平均单粒重约16 g；'永仁早'同为永仁实生品种、单粒重12 g、7月下旬成熟（早熟）；'易门1号'为云南省审定良种、单粒重14.51 g、8月中旬成熟；早熟父本'永仁早'授粉后代种子发育更快</t>
        </is>
      </c>
    </row>
    <row r="399">
      <c r="A399" s="2" t="n">
        <v>398</v>
      </c>
      <c r="B399" s="2" t="n">
        <v>82</v>
      </c>
      <c r="C399" s="2" t="inlineStr">
        <is>
          <t>082_2020_Transcriptome Sequencing and Differential Expression Analysis Reveal Molecular Mechanisms for Se.md</t>
        </is>
      </c>
      <c r="D399" s="2" t="inlineStr">
        <is>
          <t>转录组测序与差异表达分析揭示板栗花粉直感效应下种子淀粉积累的分子机制</t>
        </is>
      </c>
      <c r="E399" s="2" t="inlineStr">
        <is>
          <t>生理与分子机制</t>
        </is>
      </c>
      <c r="F399" s="2" t="inlineStr">
        <is>
          <t>基础研究</t>
        </is>
      </c>
      <c r="G399" s="2" t="inlineStr">
        <is>
          <t>板栗种子淀粉合成调控网络</t>
        </is>
      </c>
      <c r="H399" s="2" t="inlineStr">
        <is>
          <t>转录组鉴定21,423个基因位点（含9,999个新基因）；种子通过调控糖基转移酶转录活性控制可溶性糖/还原糖合成，淀粉积累与糖基水解酶和葡聚糖变位酶磷酸化相关；S3期糖酵解受抑、糖异生增强，使G-1-P和G-6-P碳流流向淀粉合成途径；S2期ABC转运蛋白和硫酸盐转运蛋白基因高表达，大量物质能量运入种子</t>
        </is>
      </c>
    </row>
    <row r="400">
      <c r="A400" s="2" t="n">
        <v>399</v>
      </c>
      <c r="B400" s="2" t="n">
        <v>83</v>
      </c>
      <c r="C400" s="2" t="inlineStr">
        <is>
          <t>083_2020_板栗球脱苞机.md</t>
        </is>
      </c>
      <c r="D400" s="2" t="inlineStr">
        <is>
          <t>板栗球脱苞机</t>
        </is>
      </c>
      <c r="E400" s="2" t="inlineStr">
        <is>
          <t>加工与贮藏</t>
        </is>
      </c>
      <c r="F400" s="2" t="inlineStr">
        <is>
          <t>加工利用</t>
        </is>
      </c>
      <c r="G400" s="2" t="inlineStr">
        <is>
          <t>坚果脱苞的主要技术原理</t>
        </is>
      </c>
      <c r="H400" s="2" t="inlineStr">
        <is>
          <t>目前应用广泛的坚果类机械脱苞原理有撞击法、碾搓法、剪切法、挤压法和搓撕法5种；新型脱苞技术有压力膨胀法、真空法和激光法；本文设计的刮板式脱苞机采用打击与挤压两种方式配合脱苞</t>
        </is>
      </c>
    </row>
    <row r="401">
      <c r="A401" s="2" t="n">
        <v>400</v>
      </c>
      <c r="B401" s="2" t="n">
        <v>83</v>
      </c>
      <c r="C401" s="2" t="inlineStr">
        <is>
          <t>083_2020_板栗球脱苞机.md</t>
        </is>
      </c>
      <c r="D401" s="2" t="inlineStr">
        <is>
          <t>板栗球脱苞机</t>
        </is>
      </c>
      <c r="E401" s="2" t="inlineStr">
        <is>
          <t>加工与贮藏</t>
        </is>
      </c>
      <c r="F401" s="2" t="inlineStr">
        <is>
          <t>加工利用</t>
        </is>
      </c>
      <c r="G401" s="2" t="inlineStr">
        <is>
          <t>刮板式板栗球脱苞机结构与工作流程</t>
        </is>
      </c>
      <c r="H401" s="2" t="inlineStr">
        <is>
          <t>整机由进栗口、脱苞箱（内装高速旋转刮板）、弧形栅笼、振动筛、鼓风机、出栗滑槽和机架组成：板栗球被刮板撞击挤压破裂→未裂栗球在栅笼上被二次锤击（栅格与刮板外径间隙小于单栗尺寸）→脱苞栗穿过栅笼落至振动筛筛出大碎壳→鼓风气流按重量差吹走轻质小碎壳、净栗经出栗滑槽自流收集</t>
        </is>
      </c>
    </row>
    <row r="402">
      <c r="A402" s="2" t="n">
        <v>401</v>
      </c>
      <c r="B402" s="2" t="n">
        <v>83</v>
      </c>
      <c r="C402" s="2" t="inlineStr">
        <is>
          <t>083_2020_板栗球脱苞机.md</t>
        </is>
      </c>
      <c r="D402" s="2" t="inlineStr">
        <is>
          <t>板栗球脱苞机</t>
        </is>
      </c>
      <c r="E402" s="2" t="inlineStr">
        <is>
          <t>加工与贮藏</t>
        </is>
      </c>
      <c r="F402" s="2" t="inlineStr">
        <is>
          <t>加工利用</t>
        </is>
      </c>
      <c r="G402" s="2" t="inlineStr">
        <is>
          <t>脱苞机关键部件材料与参数</t>
        </is>
      </c>
      <c r="H402" s="2" t="inlineStr">
        <is>
          <t>刮板选PU聚氨酯橡胶，耐磨耐天候且挤压不伤栗仁；刮板固定板为45号钢、表面渗碳1-1.5 mm、热处理硬度HRC56-62（4块20 mm厚、485×236 mm钢板）；栅条为20号钢15圆截面、长494 mm、间距40 mm；弧形栅笼内径310 mm、两端焊接套环便于更换；栅笼分离原理为'小个通过、大个不过'</t>
        </is>
      </c>
    </row>
    <row r="403">
      <c r="A403" s="2" t="n">
        <v>402</v>
      </c>
      <c r="B403" s="2" t="n">
        <v>83</v>
      </c>
      <c r="C403" s="2" t="inlineStr">
        <is>
          <t>083_2020_板栗球脱苞机.md</t>
        </is>
      </c>
      <c r="D403" s="2" t="inlineStr">
        <is>
          <t>板栗球脱苞机</t>
        </is>
      </c>
      <c r="E403" s="2" t="inlineStr">
        <is>
          <t>加工与贮藏</t>
        </is>
      </c>
      <c r="F403" s="2" t="inlineStr">
        <is>
          <t>产业市场</t>
        </is>
      </c>
      <c r="G403" s="2" t="inlineStr">
        <is>
          <t>板栗脱苞机械化市场需求</t>
        </is>
      </c>
      <c r="H403" s="2" t="inlineStr">
        <is>
          <t>板栗采收时外部包覆苞壳，传统人工手剥费时费力、加工效率低；据调查国内板栗球剥机需求量在50万台以上，应用脱苞机可大大节省农民劳动量、提高生产效率和生产质量</t>
        </is>
      </c>
    </row>
    <row r="404">
      <c r="A404" s="2" t="n">
        <v>403</v>
      </c>
      <c r="B404" s="2" t="n">
        <v>83</v>
      </c>
      <c r="C404" s="2" t="inlineStr">
        <is>
          <t>083_2020_板栗球脱苞机.md</t>
        </is>
      </c>
      <c r="D404" s="2" t="inlineStr">
        <is>
          <t>板栗球脱苞机</t>
        </is>
      </c>
      <c r="E404" s="2" t="inlineStr">
        <is>
          <t>加工与贮藏</t>
        </is>
      </c>
      <c r="F404" s="2" t="inlineStr">
        <is>
          <t>营养功效</t>
        </is>
      </c>
      <c r="G404" s="2" t="inlineStr">
        <is>
          <t>板栗营养背景（机械设计文献引述）</t>
        </is>
      </c>
      <c r="H404" s="2" t="inlineStr">
        <is>
          <t>文中引述：板栗维生素C含量比西红柿高、是苹果的十几倍；矿物质全面（含钾、锌、铁等），虽不及榛子但远高于苹果等普通水果，尤其含钾量比苹果高出3倍多，因此深受消费者喜爱</t>
        </is>
      </c>
    </row>
    <row r="405">
      <c r="A405" s="2" t="n">
        <v>404</v>
      </c>
      <c r="B405" s="2" t="n">
        <v>84</v>
      </c>
      <c r="C405" s="2" t="inlineStr">
        <is>
          <t>084_2019_Agrobacterium-mediated genetic transformation of Chinese chestnut (Castanea mollissima Blume).md</t>
        </is>
      </c>
      <c r="D405" s="2" t="inlineStr">
        <is>
          <t>板栗（Castanea mollissima Blume）农杆菌介导遗传转化体系的建立</t>
        </is>
      </c>
      <c r="E405" s="2" t="inlineStr">
        <is>
          <t>育种与遗传资源</t>
        </is>
      </c>
      <c r="F405" s="2" t="inlineStr">
        <is>
          <t>繁殖育种</t>
        </is>
      </c>
      <c r="G405" s="2" t="inlineStr">
        <is>
          <t>板栗首个农杆菌遗传转化体系</t>
        </is>
      </c>
      <c r="H405" s="2" t="inlineStr">
        <is>
          <t>首次建立板栗(Castanea mollissima)农杆菌介导遗传转化体系：以'燕山红栗'胚性愈伤为受体，AGL1菌株（pBI121-EGFP）共培养2天，转化效率4.55%，获得GFP阳性转基因芽，为板栗基因功能验证和分子育种提供平台（此前仅欧洲栗1998年、美洲栗2006年建立转化体系）</t>
        </is>
      </c>
    </row>
    <row r="406">
      <c r="A406" s="2" t="n">
        <v>405</v>
      </c>
      <c r="B406" s="2" t="n">
        <v>84</v>
      </c>
      <c r="C406" s="2" t="inlineStr">
        <is>
          <t>084_2019_Agrobacterium-mediated genetic transformation of Chinese chestnut (Castanea mollissima Blume).md</t>
        </is>
      </c>
      <c r="D406" s="2" t="inlineStr">
        <is>
          <t>板栗（Castanea mollissima Blume）农杆菌介导遗传转化体系的建立</t>
        </is>
      </c>
      <c r="E406" s="2" t="inlineStr">
        <is>
          <t>育种与遗传资源</t>
        </is>
      </c>
      <c r="F406" s="2" t="inlineStr">
        <is>
          <t>繁殖育种</t>
        </is>
      </c>
      <c r="G406" s="2" t="inlineStr">
        <is>
          <t>板栗转化体系关键参数</t>
        </is>
      </c>
      <c r="H406" s="2" t="inlineStr">
        <is>
          <t>关键参数：筛选压为卡那霉素180 mg/L（板栗对卡那霉素敏感性低，与欧洲栗类似存在内源性非特异性磷酸转移酶活性）；抑菌抗生素为头孢噻肟50 mg/L+timentin 500 μM（对愈伤无毒性）；AGL1菌株转化效率(4.55%)显著高于GV3101(1.94%)；共培养2天优于3天；卡那霉素会降低芽再生能力，仅获2个嵌合转基因芽</t>
        </is>
      </c>
    </row>
    <row r="407">
      <c r="A407" s="2" t="n">
        <v>406</v>
      </c>
      <c r="B407" s="2" t="n">
        <v>84</v>
      </c>
      <c r="C407" s="2" t="inlineStr">
        <is>
          <t>084_2019_Agrobacterium-mediated genetic transformation of Chinese chestnut (Castanea mollissima Blume).md</t>
        </is>
      </c>
      <c r="D407" s="2" t="inlineStr">
        <is>
          <t>板栗（Castanea mollissima Blume）农杆菌介导遗传转化体系的建立</t>
        </is>
      </c>
      <c r="E407" s="2" t="inlineStr">
        <is>
          <t>育种与遗传资源</t>
        </is>
      </c>
      <c r="F407" s="2" t="inlineStr">
        <is>
          <t>繁殖育种</t>
        </is>
      </c>
      <c r="G407" s="2" t="inlineStr">
        <is>
          <t>遗传转化在板栗育种中的应用方向</t>
        </is>
      </c>
      <c r="H407" s="2" t="inlineStr">
        <is>
          <t>三大应用：①缩短多年童期——导入FLowering LOCUS T(FT)类基因促进早花；②提高抗病性——参考欧洲栗过表达CsTL1类甜蛋白基因抗墨水病、美洲栗表达小麦草酸氧化酶基因抗疫病并遗传给后代；③培育矮化/半矮化品种——导入ipt、rolA、rolB、rolC、rolD基因（苹果已成功），解决板栗树高3米以上修剪和采果困难问题</t>
        </is>
      </c>
    </row>
    <row r="408">
      <c r="A408" s="2" t="n">
        <v>407</v>
      </c>
      <c r="B408" s="2" t="n">
        <v>84</v>
      </c>
      <c r="C408" s="2" t="inlineStr">
        <is>
          <t>084_2019_Agrobacterium-mediated genetic transformation of Chinese chestnut (Castanea mollissima Blume).md</t>
        </is>
      </c>
      <c r="D408" s="2" t="inlineStr">
        <is>
          <t>板栗（Castanea mollissima Blume）农杆菌介导遗传转化体系的建立</t>
        </is>
      </c>
      <c r="E408" s="2" t="inlineStr">
        <is>
          <t>育种与遗传资源</t>
        </is>
      </c>
      <c r="F408" s="2" t="inlineStr">
        <is>
          <t>繁殖育种</t>
        </is>
      </c>
      <c r="G408" s="2" t="inlineStr">
        <is>
          <t>板栗种质资源的育种价值</t>
        </is>
      </c>
      <c r="H408" s="2" t="inlineStr">
        <is>
          <t>板栗产量居世界坚果之首，抗病虫性和环境适应性强，可减少农药使用、降低成本，并可栽于山地节约耕地、防止水土流失；作为世界栗属育种重要种质，其转化体系也可为锥栗(C. henryi)、日本栗(C. crenata)、茅栗(C. seguinii)、美洲栗(C. pumila)等未建立转化体系的树种提供参考</t>
        </is>
      </c>
    </row>
    <row r="409">
      <c r="A409" s="2" t="n">
        <v>408</v>
      </c>
      <c r="B409" s="2" t="n">
        <v>85</v>
      </c>
      <c r="C409" s="2" t="inlineStr">
        <is>
          <t>085_2019_Effect of Steaming Processing on Phenolic Profiles and Cellular Antioxidant Activities of Castan.md</t>
        </is>
      </c>
      <c r="D409" s="2" t="inlineStr">
        <is>
          <t>蒸制加工对板栗酚类物质谱及细胞抗氧化活性的影响</t>
        </is>
      </c>
      <c r="E409" s="2" t="inlineStr">
        <is>
          <t>加工与贮藏</t>
        </is>
      </c>
      <c r="F409" s="2" t="inlineStr">
        <is>
          <t>加工利用</t>
        </is>
      </c>
      <c r="G409" s="2" t="inlineStr">
        <is>
          <t>蒸制可提升板栗酚类含量与抗氧化活性</t>
        </is>
      </c>
      <c r="H409" s="2" t="inlineStr">
        <is>
          <t>蒸制通过灭活PPO/POD氧化酶、破坏食品基质释放结合酚并生成新酚类，可提高板栗总酚和黄酮：鲜栗总酚38.43 mg GAE/100g FW，蒸后最高62.52 mg GAE/100g（1.63倍）；总黄酮53.16→71.51 mg CE/100g（1.35倍）；ORAC游离组分最高13.36 μmol TE/g（1.61倍）；长时间高温（100°C 40min或121°C 20min）效果最佳</t>
        </is>
      </c>
    </row>
    <row r="410">
      <c r="A410" s="2" t="n">
        <v>409</v>
      </c>
      <c r="B410" s="2" t="n">
        <v>85</v>
      </c>
      <c r="C410" s="2" t="inlineStr">
        <is>
          <t>085_2019_Effect of Steaming Processing on Phenolic Profiles and Cellular Antioxidant Activities of Castan.md</t>
        </is>
      </c>
      <c r="D410" s="2" t="inlineStr">
        <is>
          <t>蒸制加工对板栗酚类物质谱及细胞抗氧化活性的影响</t>
        </is>
      </c>
      <c r="E410" s="2" t="inlineStr">
        <is>
          <t>加工与贮藏</t>
        </is>
      </c>
      <c r="F410" s="2" t="inlineStr">
        <is>
          <t>营养功效</t>
        </is>
      </c>
      <c r="G410" s="2" t="inlineStr">
        <is>
          <t>绿原酸是板栗果仁主要酚类成分</t>
        </is>
      </c>
      <c r="H410" s="2" t="inlineStr">
        <is>
          <t>板栗果仁游离酚中绿原酸含量最高（鲜样18.28 mg/100g，100°C蒸40min达22.42 mg/100g，约1.2倍增长），其次为没食子酸（鲜样9.76 mg/100g，100°C蒸20min最高12.93 mg/100g）和阿魏酸；绿原酸仅存在于游离组分、结合态中未检出；这与欧洲栗以没食子酸和鞣花酸为主导不同，属品种差异</t>
        </is>
      </c>
    </row>
    <row r="411">
      <c r="A411" s="2" t="n">
        <v>410</v>
      </c>
      <c r="B411" s="2" t="n">
        <v>85</v>
      </c>
      <c r="C411" s="2" t="inlineStr">
        <is>
          <t>085_2019_Effect of Steaming Processing on Phenolic Profiles and Cellular Antioxidant Activities of Castan.md</t>
        </is>
      </c>
      <c r="D411" s="2" t="inlineStr">
        <is>
          <t>蒸制加工对板栗酚类物质谱及细胞抗氧化活性的影响</t>
        </is>
      </c>
      <c r="E411" s="2" t="inlineStr">
        <is>
          <t>加工与贮藏</t>
        </is>
      </c>
      <c r="F411" s="2" t="inlineStr">
        <is>
          <t>营养功效</t>
        </is>
      </c>
      <c r="G411" s="2" t="inlineStr">
        <is>
          <t>蒸制改善板栗酚类生物可及性</t>
        </is>
      </c>
      <c r="H411" s="2" t="inlineStr">
        <is>
          <t>板栗酚类整体生物可及性较低（总酚、黄酮与细胞抗氧化活性CAA无明显相关，仅绿原酸与CAA相关p&lt;0.01）；蒸制可改善游离植物化学素的细胞可及性，提高41.96%；细胞摄取率从鲜样的14.3%升至100°C蒸30min的26.3%；但结合态组分的生物可及性会被蒸制削弱（如121°C 20min处理）</t>
        </is>
      </c>
    </row>
    <row r="412">
      <c r="A412" s="2" t="n">
        <v>411</v>
      </c>
      <c r="B412" s="2" t="n">
        <v>85</v>
      </c>
      <c r="C412" s="2" t="inlineStr">
        <is>
          <t>085_2019_Effect of Steaming Processing on Phenolic Profiles and Cellular Antioxidant Activities of Castan.md</t>
        </is>
      </c>
      <c r="D412" s="2" t="inlineStr">
        <is>
          <t>蒸制加工对板栗酚类物质谱及细胞抗氧化活性的影响</t>
        </is>
      </c>
      <c r="E412" s="2" t="inlineStr">
        <is>
          <t>加工与贮藏</t>
        </is>
      </c>
      <c r="F412" s="2" t="inlineStr">
        <is>
          <t>营养功效</t>
        </is>
      </c>
      <c r="G412" s="2" t="inlineStr">
        <is>
          <t>板栗酚类的游离/结合态分布</t>
        </is>
      </c>
      <c r="H412" s="2" t="inlineStr">
        <is>
          <t>板栗果仁中游离态酚约占总酚的90%、结合态不足13%，游离态是抗氧化活性的主要贡献者；结合态酚较耐热，在长时间高温蒸制下可显著增加（最高达鲜样的3.14倍，121°C 20min），可能源于单宁和木质素水解及直链淀粉与酚类的氢键结合</t>
        </is>
      </c>
    </row>
    <row r="413">
      <c r="A413" s="2" t="n">
        <v>412</v>
      </c>
      <c r="B413" s="2" t="n">
        <v>85</v>
      </c>
      <c r="C413" s="2" t="inlineStr">
        <is>
          <t>085_2019_Effect of Steaming Processing on Phenolic Profiles and Cellular Antioxidant Activities of Castan.md</t>
        </is>
      </c>
      <c r="D413" s="2" t="inlineStr">
        <is>
          <t>蒸制加工对板栗酚类物质谱及细胞抗氧化活性的影响</t>
        </is>
      </c>
      <c r="E413" s="2" t="inlineStr">
        <is>
          <t>加工与贮藏</t>
        </is>
      </c>
      <c r="F413" s="2" t="inlineStr">
        <is>
          <t>加工利用</t>
        </is>
      </c>
      <c r="G413" s="2" t="inlineStr">
        <is>
          <t>蒸制工艺参数选择建议</t>
        </is>
      </c>
      <c r="H413" s="2" t="inlineStr">
        <is>
          <t>100-115°C蒸20 min是黄酮含量变化的临界点（此时酚类释放/生成不足以补偿热损失）；推荐100°C蒸40 min或121°C蒸20 min以最大化酚类、黄酮与抗氧化活性；前期研究显示蒸制所得板栗酚类和黄酮含量高于煮制和微波处理，蒸制是保留板栗植物化学素的最佳热加工方式</t>
        </is>
      </c>
    </row>
    <row r="414">
      <c r="A414" s="2" t="n">
        <v>413</v>
      </c>
      <c r="B414" s="2" t="n">
        <v>85</v>
      </c>
      <c r="C414" s="2" t="inlineStr">
        <is>
          <t>085_2019_Effect of Steaming Processing on Phenolic Profiles and Cellular Antioxidant Activities of Castan.md</t>
        </is>
      </c>
      <c r="D414" s="2" t="inlineStr">
        <is>
          <t>蒸制加工对板栗酚类物质谱及细胞抗氧化活性的影响</t>
        </is>
      </c>
      <c r="E414" s="2" t="inlineStr">
        <is>
          <t>加工与贮藏</t>
        </is>
      </c>
      <c r="F414" s="2" t="inlineStr">
        <is>
          <t>基础研究</t>
        </is>
      </c>
      <c r="G414" s="2" t="inlineStr">
        <is>
          <t>对香豆酸与抗氧化活性负相关</t>
        </is>
      </c>
      <c r="H414" s="2" t="inlineStr">
        <is>
          <t>板栗中对香豆酸含量在加工中保持相对稳定（游离约2.37-2.52 mg/100g），但其与总抗氧化活性和细胞抗氧化活性均呈显著负相关，表明对香豆酸对板栗果实抗氧化特性的贡献较小</t>
        </is>
      </c>
    </row>
    <row r="415">
      <c r="A415" s="2" t="n">
        <v>414</v>
      </c>
      <c r="B415" s="2" t="n">
        <v>86</v>
      </c>
      <c r="C415" s="2" t="inlineStr">
        <is>
          <t>086_2019_Effects of the &amp;lt;i&amp;gt;Castanea mollissima Blume&amp;lt;_i&amp;gt; Shell Cultivation Substrate on the Y.md</t>
        </is>
      </c>
      <c r="D415" s="2" t="inlineStr">
        <is>
          <t>板栗壳栽培基质对秀珍菇产量与营养成分的影响</t>
        </is>
      </c>
      <c r="E415" s="2" t="inlineStr">
        <is>
          <t>林产利用与其他</t>
        </is>
      </c>
      <c r="F415" s="2" t="inlineStr">
        <is>
          <t>加工利用</t>
        </is>
      </c>
      <c r="G415" s="2" t="inlineStr">
        <is>
          <t>板栗壳栽培秀珍菇最佳配方</t>
        </is>
      </c>
      <c r="H415" s="2" t="inlineStr">
        <is>
          <t>板栗壳替代棉籽壳栽培秀珍菇，30%壳配方产量最高达237.86 g/袋、生物效率61.78%，显著高于纯棉籽壳对照（180.70 g/袋、46.94%）；10%壳配方菌丝生长最快（0.49 cm/d，比对照快0.15 cm/d）</t>
        </is>
      </c>
    </row>
    <row r="416">
      <c r="A416" s="2" t="n">
        <v>415</v>
      </c>
      <c r="B416" s="2" t="n">
        <v>86</v>
      </c>
      <c r="C416" s="2" t="inlineStr">
        <is>
          <t>086_2019_Effects of the &amp;lt;i&amp;gt;Castanea mollissima Blume&amp;lt;_i&amp;gt; Shell Cultivation Substrate on the Y.md</t>
        </is>
      </c>
      <c r="D416" s="2" t="inlineStr">
        <is>
          <t>板栗壳栽培基质对秀珍菇产量与营养成分的影响</t>
        </is>
      </c>
      <c r="E416" s="2" t="inlineStr">
        <is>
          <t>林产利用与其他</t>
        </is>
      </c>
      <c r="F416" s="2" t="inlineStr">
        <is>
          <t>加工利用</t>
        </is>
      </c>
      <c r="G416" s="2" t="inlineStr">
        <is>
          <t>板栗壳用量上限与重金属安全</t>
        </is>
      </c>
      <c r="H416" s="2" t="inlineStr">
        <is>
          <t>壳用量增加使菇体重金属Hg、As、Cd、Pb含量上升，壳比例达50%时Cd含量0.520 mg/kg超过国标限量（0.5 mg/kg），因此秀珍菇栽培中板栗壳用量应控制在30%以内</t>
        </is>
      </c>
    </row>
    <row r="417">
      <c r="A417" s="2" t="n">
        <v>416</v>
      </c>
      <c r="B417" s="2" t="n">
        <v>86</v>
      </c>
      <c r="C417" s="2" t="inlineStr">
        <is>
          <t>086_2019_Effects of the &amp;lt;i&amp;gt;Castanea mollissima Blume&amp;lt;_i&amp;gt; Shell Cultivation Substrate on the Y.md</t>
        </is>
      </c>
      <c r="D417" s="2" t="inlineStr">
        <is>
          <t>板栗壳栽培基质对秀珍菇产量与营养成分的影响</t>
        </is>
      </c>
      <c r="E417" s="2" t="inlineStr">
        <is>
          <t>林产利用与其他</t>
        </is>
      </c>
      <c r="F417" s="2" t="inlineStr">
        <is>
          <t>营养功效</t>
        </is>
      </c>
      <c r="G417" s="2" t="inlineStr">
        <is>
          <t>壳基质提升菇体营养品质</t>
        </is>
      </c>
      <c r="H417" s="2" t="inlineStr">
        <is>
          <t>随壳比例增加菇体蛋白质升高（50%壳达28.3 g/100g，比对照高4.5 g/100g），氨基酸总量从13.35%升至20.7%，必需氨基酸占比由31.59%提高到37.78%以上，粗纤维增加、粗脂肪降低</t>
        </is>
      </c>
    </row>
    <row r="418">
      <c r="A418" s="2" t="n">
        <v>417</v>
      </c>
      <c r="B418" s="2" t="n">
        <v>86</v>
      </c>
      <c r="C418" s="2" t="inlineStr">
        <is>
          <t>086_2019_Effects of the &amp;lt;i&amp;gt;Castanea mollissima Blume&amp;lt;_i&amp;gt; Shell Cultivation Substrate on the Y.md</t>
        </is>
      </c>
      <c r="D418" s="2" t="inlineStr">
        <is>
          <t>板栗壳栽培基质对秀珍菇产量与营养成分的影响</t>
        </is>
      </c>
      <c r="E418" s="2" t="inlineStr">
        <is>
          <t>林产利用与其他</t>
        </is>
      </c>
      <c r="F418" s="2" t="inlineStr">
        <is>
          <t>加工利用</t>
        </is>
      </c>
      <c r="G418" s="2" t="inlineStr">
        <is>
          <t>基质C/N比与抑制物对菌丝的影响</t>
        </is>
      </c>
      <c r="H418" s="2" t="inlineStr">
        <is>
          <t>板栗壳含单宁5.58%、皂苷3.44%，含量和基质C/N随壳比例升高（25.94至33.21），抑制菌丝生长；秀珍菇菌丝生长适宜C/N约27，过高或过低均减速</t>
        </is>
      </c>
    </row>
    <row r="419">
      <c r="A419" s="2" t="n">
        <v>418</v>
      </c>
      <c r="B419" s="2" t="n">
        <v>86</v>
      </c>
      <c r="C419" s="2" t="inlineStr">
        <is>
          <t>086_2019_Effects of the &amp;lt;i&amp;gt;Castanea mollissima Blume&amp;lt;_i&amp;gt; Shell Cultivation Substrate on the Y.md</t>
        </is>
      </c>
      <c r="D419" s="2" t="inlineStr">
        <is>
          <t>板栗壳栽培基质对秀珍菇产量与营养成分的影响</t>
        </is>
      </c>
      <c r="E419" s="2" t="inlineStr">
        <is>
          <t>林产利用与其他</t>
        </is>
      </c>
      <c r="F419" s="2" t="inlineStr">
        <is>
          <t>产业市场</t>
        </is>
      </c>
      <c r="G419" s="2" t="inlineStr">
        <is>
          <t>板栗壳资源量与成分</t>
        </is>
      </c>
      <c r="H419" s="2" t="inlineStr">
        <is>
          <t>板栗壳为带刺果实外壳，约占果实重量10%，含纤维素27.34%、半纤维素33.23%、木质素21.40%；我国板栗种植约30万公顷、占世界产量80%以上，大量壳被丢弃或焚烧，可作食用菌基质、提制单宁、制活性炭等利用</t>
        </is>
      </c>
    </row>
    <row r="420">
      <c r="A420" s="2" t="n">
        <v>419</v>
      </c>
      <c r="B420" s="2" t="n">
        <v>87</v>
      </c>
      <c r="C420" s="2" t="inlineStr">
        <is>
          <t>087_2019_Hybrid de novo genome assembly of Chinese chestnut ( Castanea mollissima ).md</t>
        </is>
      </c>
      <c r="D420" s="2" t="inlineStr">
        <is>
          <t>中国板栗（Castanea mollissima）混合从头基因组组装</t>
        </is>
      </c>
      <c r="E420" s="2" t="inlineStr">
        <is>
          <t>基因组与基因家族</t>
        </is>
      </c>
      <c r="F420" s="2" t="inlineStr">
        <is>
          <t>基础研究</t>
        </is>
      </c>
      <c r="G420" s="2" t="inlineStr">
        <is>
          <t>板栗基因组基本参数</t>
        </is>
      </c>
      <c r="H420" s="2" t="inlineStr">
        <is>
          <t>板栗基因组约785.53 Mb（k-mer估算772 Mb），杂合度约0.87%，含36,479个蛋白编码基因，重复序列占49.69%，其中LTR反转录转座子占19.92%，GC含量36.07%</t>
        </is>
      </c>
    </row>
    <row r="421">
      <c r="A421" s="2" t="n">
        <v>420</v>
      </c>
      <c r="B421" s="2" t="n">
        <v>87</v>
      </c>
      <c r="C421" s="2" t="inlineStr">
        <is>
          <t>087_2019_Hybrid de novo genome assembly of Chinese chestnut ( Castanea mollissima ).md</t>
        </is>
      </c>
      <c r="D421" s="2" t="inlineStr">
        <is>
          <t>中国板栗（Castanea mollissima）混合从头基因组组装</t>
        </is>
      </c>
      <c r="E421" s="2" t="inlineStr">
        <is>
          <t>基因组与基因家族</t>
        </is>
      </c>
      <c r="F421" s="2" t="inlineStr">
        <is>
          <t>基础研究</t>
        </is>
      </c>
      <c r="G421" s="2" t="inlineStr">
        <is>
          <t>基因组组装策略与质量</t>
        </is>
      </c>
      <c r="H421" s="2" t="inlineStr">
        <is>
          <t>采用PacBio长读长（平均读长7,170 bp，87×）与Illumina（42.7×）混合组装，2,707条contig、N50达944 kb，BUSCO核心基因完整率96.7%，Illumina DNA/RNA比对率95.46%/97.41%，为壳斗科高质量参考基因组</t>
        </is>
      </c>
    </row>
    <row r="422">
      <c r="A422" s="2" t="n">
        <v>421</v>
      </c>
      <c r="B422" s="2" t="n">
        <v>87</v>
      </c>
      <c r="C422" s="2" t="inlineStr">
        <is>
          <t>087_2019_Hybrid de novo genome assembly of Chinese chestnut ( Castanea mollissima ).md</t>
        </is>
      </c>
      <c r="D422" s="2" t="inlineStr">
        <is>
          <t>中国板栗（Castanea mollissima）混合从头基因组组装</t>
        </is>
      </c>
      <c r="E422" s="2" t="inlineStr">
        <is>
          <t>基因组与基因家族</t>
        </is>
      </c>
      <c r="F422" s="2" t="inlineStr">
        <is>
          <t>基础研究</t>
        </is>
      </c>
      <c r="G422" s="2" t="inlineStr">
        <is>
          <t>板栗进化地位与分化时间</t>
        </is>
      </c>
      <c r="H422" s="2" t="inlineStr">
        <is>
          <t>板栗与夏栎（橡树）为姊妹群，约13.62百万年前分化；壳斗目与蔷薇目约90.75百万年前分化；板栗特有11,952个基因、8,884个基因家族，209个基因家族显著扩张、89个收缩</t>
        </is>
      </c>
    </row>
    <row r="423">
      <c r="A423" s="2" t="n">
        <v>422</v>
      </c>
      <c r="B423" s="2" t="n">
        <v>87</v>
      </c>
      <c r="C423" s="2" t="inlineStr">
        <is>
          <t>087_2019_Hybrid de novo genome assembly of Chinese chestnut ( Castanea mollissima ).md</t>
        </is>
      </c>
      <c r="D423" s="2" t="inlineStr">
        <is>
          <t>中国板栗（Castanea mollissima）混合从头基因组组装</t>
        </is>
      </c>
      <c r="E423" s="2" t="inlineStr">
        <is>
          <t>基因组与基因家族</t>
        </is>
      </c>
      <c r="F423" s="2" t="inlineStr">
        <is>
          <t>基础研究</t>
        </is>
      </c>
      <c r="G423" s="2" t="inlineStr">
        <is>
          <t>板栗基因组串联重复基因特征</t>
        </is>
      </c>
      <c r="H423" s="2" t="inlineStr">
        <is>
          <t>板栗含1,122个串联排列基因（TAG）簇、共4,198个串联重复基因，占全基因组11.5%，显著高于杨树（4.9%）和苹果（4.2%），高TAG丰度是板栗基因组的主要特征之一</t>
        </is>
      </c>
    </row>
    <row r="424">
      <c r="A424" s="2" t="n">
        <v>423</v>
      </c>
      <c r="B424" s="2" t="n">
        <v>87</v>
      </c>
      <c r="C424" s="2" t="inlineStr">
        <is>
          <t>087_2019_Hybrid de novo genome assembly of Chinese chestnut ( Castanea mollissima ).md</t>
        </is>
      </c>
      <c r="D424" s="2" t="inlineStr">
        <is>
          <t>中国板栗（Castanea mollissima）混合从头基因组组装</t>
        </is>
      </c>
      <c r="E424" s="2" t="inlineStr">
        <is>
          <t>基因组与基因家族</t>
        </is>
      </c>
      <c r="F424" s="2" t="inlineStr">
        <is>
          <t>繁殖育种</t>
        </is>
      </c>
      <c r="G424" s="2" t="inlineStr">
        <is>
          <t>板栗抗病育种资源价值</t>
        </is>
      </c>
      <c r="H424" s="2" t="inlineStr">
        <is>
          <t>板栗对栗疫病具有天然抗性，已在其与美洲栗杂交F2群体中定位3个抗病QTL；20世纪初栗疫病曾毁掉40亿株美洲栗，板栗被美国广泛用于抗病育种；2个抗疫霉根腐病QTL也已在欧洲栗×日本栗群体中发现</t>
        </is>
      </c>
    </row>
    <row r="425">
      <c r="A425" s="2" t="n">
        <v>424</v>
      </c>
      <c r="B425" s="2" t="n">
        <v>87</v>
      </c>
      <c r="C425" s="2" t="inlineStr">
        <is>
          <t>087_2019_Hybrid de novo genome assembly of Chinese chestnut ( Castanea mollissima ).md</t>
        </is>
      </c>
      <c r="D425" s="2" t="inlineStr">
        <is>
          <t>中国板栗（Castanea mollissima）混合从头基因组组装</t>
        </is>
      </c>
      <c r="E425" s="2" t="inlineStr">
        <is>
          <t>基因组与基因家族</t>
        </is>
      </c>
      <c r="F425" s="2" t="inlineStr">
        <is>
          <t>产业市场</t>
        </is>
      </c>
      <c r="G425" s="2" t="inlineStr">
        <is>
          <t>中国板栗产业背景数据</t>
        </is>
      </c>
      <c r="H425" s="2" t="inlineStr">
        <is>
          <t>中国板栗栽培历史超6000年（西安半坡遗址考古证据），种植遍及26个省份，2017年产量1,939,719吨、占世界总产量83.34%，栽培面积约30万公顷</t>
        </is>
      </c>
    </row>
    <row r="426">
      <c r="A426" s="2" t="n">
        <v>425</v>
      </c>
      <c r="B426" s="2" t="n">
        <v>88</v>
      </c>
      <c r="C426" s="2" t="inlineStr">
        <is>
          <t>088_2019_One New Phenolic Compound from Castanea mollissima Shells and its Suppression of HepatomaCell Pr.md</t>
        </is>
      </c>
      <c r="D426" s="2" t="inlineStr">
        <is>
          <t>板栗壳中一个新酚类化合物及其通过抑制NF-κB通路对肝癌细胞增殖与炎症的抑制作用</t>
        </is>
      </c>
      <c r="E426" s="2" t="inlineStr">
        <is>
          <t>生物活性与功效</t>
        </is>
      </c>
      <c r="F426" s="2" t="inlineStr">
        <is>
          <t>加工利用</t>
        </is>
      </c>
      <c r="G426" s="2" t="inlineStr">
        <is>
          <t>板栗壳水溶性酚类成分首次系统鉴定</t>
        </is>
      </c>
      <c r="H426" s="2" t="inlineStr">
        <is>
          <t>从板栗壳水溶性提取物中首次分离鉴定7个酚类化合物，包括新化合物castanol B和7,8-二羟基-2H-色原烯-3-酮等6个已知化合物，其中6个为首次在板栗中发现；提取工艺为40%乙醇（pH 3-4）提取、制备HPLC分离</t>
        </is>
      </c>
    </row>
    <row r="427">
      <c r="A427" s="2" t="n">
        <v>426</v>
      </c>
      <c r="B427" s="2" t="n">
        <v>88</v>
      </c>
      <c r="C427" s="2" t="inlineStr">
        <is>
          <t>088_2019_One New Phenolic Compound from Castanea mollissima Shells and its Suppression of HepatomaCell Pr.md</t>
        </is>
      </c>
      <c r="D427" s="2" t="inlineStr">
        <is>
          <t>板栗壳中一个新酚类化合物及其通过抑制NF-κB通路对肝癌细胞增殖与炎症的抑制作用</t>
        </is>
      </c>
      <c r="E427" s="2" t="inlineStr">
        <is>
          <t>生物活性与功效</t>
        </is>
      </c>
      <c r="F427" s="2" t="inlineStr">
        <is>
          <t>基础研究</t>
        </is>
      </c>
      <c r="G427" s="2" t="inlineStr">
        <is>
          <t>新化合物Castanol B结构特征</t>
        </is>
      </c>
      <c r="H427" s="2" t="inlineStr">
        <is>
          <t>Castanol B为新联苯酚类化合物，鉴定为5,3′,4′-三羟基-3-羧基联苯（分子式C13H10O5），其联苯母核与临床保肝抗炎药联苯双酯（DDB）相同，提示板栗壳具保肝药物开发的物质基础</t>
        </is>
      </c>
    </row>
    <row r="428">
      <c r="A428" s="2" t="n">
        <v>427</v>
      </c>
      <c r="B428" s="2" t="n">
        <v>88</v>
      </c>
      <c r="C428" s="2" t="inlineStr">
        <is>
          <t>088_2019_One New Phenolic Compound from Castanea mollissima Shells and its Suppression of HepatomaCell Pr.md</t>
        </is>
      </c>
      <c r="D428" s="2" t="inlineStr">
        <is>
          <t>板栗壳中一个新酚类化合物及其通过抑制NF-κB通路对肝癌细胞增殖与炎症的抑制作用</t>
        </is>
      </c>
      <c r="E428" s="2" t="inlineStr">
        <is>
          <t>生物活性与功效</t>
        </is>
      </c>
      <c r="F428" s="2" t="inlineStr">
        <is>
          <t>营养功效</t>
        </is>
      </c>
      <c r="G428" s="2" t="inlineStr">
        <is>
          <t>板栗壳酚类抗肝癌活性</t>
        </is>
      </c>
      <c r="H428" s="2" t="inlineStr">
        <is>
          <t>Castanol B在100和200 µM浓度下对LPS诱导的人肝癌SMMC-7721和HepG2细胞增殖抑制率超过50%，显著诱导细胞凋亡（Annexin V/PI检测），且在无LPS条件下也显著促进凋亡</t>
        </is>
      </c>
    </row>
    <row r="429">
      <c r="A429" s="2" t="n">
        <v>428</v>
      </c>
      <c r="B429" s="2" t="n">
        <v>88</v>
      </c>
      <c r="C429" s="2" t="inlineStr">
        <is>
          <t>088_2019_One New Phenolic Compound from Castanea mollissima Shells and its Suppression of HepatomaCell Pr.md</t>
        </is>
      </c>
      <c r="D429" s="2" t="inlineStr">
        <is>
          <t>板栗壳中一个新酚类化合物及其通过抑制NF-κB通路对肝癌细胞增殖与炎症的抑制作用</t>
        </is>
      </c>
      <c r="E429" s="2" t="inlineStr">
        <is>
          <t>生物活性与功效</t>
        </is>
      </c>
      <c r="F429" s="2" t="inlineStr">
        <is>
          <t>营养功效</t>
        </is>
      </c>
      <c r="G429" s="2" t="inlineStr">
        <is>
          <t>抗炎抗癌分子机制</t>
        </is>
      </c>
      <c r="H429" s="2" t="inlineStr">
        <is>
          <t>Castanol B剂量依赖性抑制LPS诱导的促炎因子TNF-α和IL-6分泌，并通过下调TLR4、IKKβ、NF-κB p65三个关键信号分子抑制TLR4-NF-κB通路，抗癌作用与其抗炎机制相关</t>
        </is>
      </c>
    </row>
    <row r="430">
      <c r="A430" s="2" t="n">
        <v>429</v>
      </c>
      <c r="B430" s="2" t="n">
        <v>88</v>
      </c>
      <c r="C430" s="2" t="inlineStr">
        <is>
          <t>088_2019_One New Phenolic Compound from Castanea mollissima Shells and its Suppression of HepatomaCell Pr.md</t>
        </is>
      </c>
      <c r="D430" s="2" t="inlineStr">
        <is>
          <t>板栗壳中一个新酚类化合物及其通过抑制NF-κB通路对肝癌细胞增殖与炎症的抑制作用</t>
        </is>
      </c>
      <c r="E430" s="2" t="inlineStr">
        <is>
          <t>生物活性与功效</t>
        </is>
      </c>
      <c r="F430" s="2" t="inlineStr">
        <is>
          <t>加工利用</t>
        </is>
      </c>
      <c r="G430" s="2" t="inlineStr">
        <is>
          <t>板栗壳废弃物高值化方向</t>
        </is>
      </c>
      <c r="H430" s="2" t="inlineStr">
        <is>
          <t>中国板栗年产量约190万吨（2016年FAO数据，世界230万吨），板栗壳作为副产物利用率极低、多作燃料或废弃；其水溶性部分含多酚、色素等活性成分，具抗菌、抗氧化、抗肿瘤潜力，可作染料和药材开发</t>
        </is>
      </c>
    </row>
    <row r="431">
      <c r="A431" s="2" t="n">
        <v>430</v>
      </c>
      <c r="B431" s="2" t="n">
        <v>89</v>
      </c>
      <c r="C431" s="2" t="inlineStr">
        <is>
          <t>089_2019_Property changes in the Castanea mollissima Blume shell during composting and an evaluation of t.md</t>
        </is>
      </c>
      <c r="D431" s="2" t="inlineStr">
        <is>
          <t>板栗壳堆肥过程中的性质变化及堆肥腐熟度评价</t>
        </is>
      </c>
      <c r="E431" s="2" t="inlineStr">
        <is>
          <t>栽培与土壤管理</t>
        </is>
      </c>
      <c r="F431" s="2" t="inlineStr">
        <is>
          <t>土壤肥料</t>
        </is>
      </c>
      <c r="G431" s="2" t="inlineStr">
        <is>
          <t>板栗壳堆肥实用配方与周期</t>
        </is>
      </c>
      <c r="H431" s="2" t="inlineStr">
        <is>
          <t>板栗壳+25%（干重）羊粪或鸡粪、尿素调C/N至30、添加3% EM菌、含水率55%，冬季约60天可完全腐熟；纯板栗壳堆肥73天仍未完全腐熟（T值0.632&gt;0.6），故建议配合粪肥共堆</t>
        </is>
      </c>
    </row>
    <row r="432">
      <c r="A432" s="2" t="n">
        <v>431</v>
      </c>
      <c r="B432" s="2" t="n">
        <v>89</v>
      </c>
      <c r="C432" s="2" t="inlineStr">
        <is>
          <t>089_2019_Property changes in the Castanea mollissima Blume shell during composting and an evaluation of t.md</t>
        </is>
      </c>
      <c r="D432" s="2" t="inlineStr">
        <is>
          <t>板栗壳堆肥过程中的性质变化及堆肥腐熟度评价</t>
        </is>
      </c>
      <c r="E432" s="2" t="inlineStr">
        <is>
          <t>栽培与土壤管理</t>
        </is>
      </c>
      <c r="F432" s="2" t="inlineStr">
        <is>
          <t>土壤肥料</t>
        </is>
      </c>
      <c r="G432" s="2" t="inlineStr">
        <is>
          <t>堆肥无害化温度要求</t>
        </is>
      </c>
      <c r="H432" s="2" t="inlineStr">
        <is>
          <t>添加粪肥组2天即进入高温期，最高温度61-69℃，55℃以上高温期持续11-17天，远超杀灭病原菌和杂草种子所需3天以上标准，可保证堆肥产品卫生安全</t>
        </is>
      </c>
    </row>
    <row r="433">
      <c r="A433" s="2" t="n">
        <v>432</v>
      </c>
      <c r="B433" s="2" t="n">
        <v>89</v>
      </c>
      <c r="C433" s="2" t="inlineStr">
        <is>
          <t>089_2019_Property changes in the Castanea mollissima Blume shell during composting and an evaluation of t.md</t>
        </is>
      </c>
      <c r="D433" s="2" t="inlineStr">
        <is>
          <t>板栗壳堆肥过程中的性质变化及堆肥腐熟度评价</t>
        </is>
      </c>
      <c r="E433" s="2" t="inlineStr">
        <is>
          <t>栽培与土壤管理</t>
        </is>
      </c>
      <c r="F433" s="2" t="inlineStr">
        <is>
          <t>土壤肥料</t>
        </is>
      </c>
      <c r="G433" s="2" t="inlineStr">
        <is>
          <t>板栗壳堆肥腐熟判定标准</t>
        </is>
      </c>
      <c r="H433" s="2" t="inlineStr">
        <is>
          <t>发芽指数GI&gt;100%（无植物毒性）且T值=（终末C/N）/（初始C/N）&lt;0.6可判定板栗壳堆肥腐熟；C/N、硝态氮、GI与Solvita腐熟指数呈显著相关（r约0.89-0.99），可作为快捷经济的高温堆肥成熟度评价指标</t>
        </is>
      </c>
    </row>
    <row r="434">
      <c r="A434" s="2" t="n">
        <v>433</v>
      </c>
      <c r="B434" s="2" t="n">
        <v>89</v>
      </c>
      <c r="C434" s="2" t="inlineStr">
        <is>
          <t>089_2019_Property changes in the Castanea mollissima Blume shell during composting and an evaluation of t.md</t>
        </is>
      </c>
      <c r="D434" s="2" t="inlineStr">
        <is>
          <t>板栗壳堆肥过程中的性质变化及堆肥腐熟度评价</t>
        </is>
      </c>
      <c r="E434" s="2" t="inlineStr">
        <is>
          <t>栽培与土壤管理</t>
        </is>
      </c>
      <c r="F434" s="2" t="inlineStr">
        <is>
          <t>土壤肥料</t>
        </is>
      </c>
      <c r="G434" s="2" t="inlineStr">
        <is>
          <t>羊粪为最佳共堆肥辅料</t>
        </is>
      </c>
      <c r="H434" s="2" t="inlineStr">
        <is>
          <t>加25%羊粪组最终硝态氮31208.01 mg/kg，为加鸡粪组（1972.08 mg/kg）的15倍、纯壳组（103.34 mg/kg）的约300倍，且GI上升最快、腐熟最彻底，羊粪显著提升板栗壳堆肥肥效</t>
        </is>
      </c>
    </row>
    <row r="435">
      <c r="A435" s="2" t="n">
        <v>434</v>
      </c>
      <c r="B435" s="2" t="n">
        <v>89</v>
      </c>
      <c r="C435" s="2" t="inlineStr">
        <is>
          <t>089_2019_Property changes in the Castanea mollissima Blume shell during composting and an evaluation of t.md</t>
        </is>
      </c>
      <c r="D435" s="2" t="inlineStr">
        <is>
          <t>板栗壳堆肥过程中的性质变化及堆肥腐熟度评价</t>
        </is>
      </c>
      <c r="E435" s="2" t="inlineStr">
        <is>
          <t>栽培与土壤管理</t>
        </is>
      </c>
      <c r="F435" s="2" t="inlineStr">
        <is>
          <t>产业市场</t>
        </is>
      </c>
      <c r="G435" s="2" t="inlineStr">
        <is>
          <t>板栗壳资源量与环损问题</t>
        </is>
      </c>
      <c r="H435" s="2" t="inlineStr">
        <is>
          <t>我国板栗年产量约190万吨，板栗壳年产量约130万吨；壳含纤维素、半纤维素、木质素、多酚、黄酮、单宁等，是宝贵有机资源，但多数被丢弃或焚烧造成污染，堆肥还田可实现循环利用</t>
        </is>
      </c>
    </row>
    <row r="436">
      <c r="A436" s="2" t="n">
        <v>435</v>
      </c>
      <c r="B436" s="2" t="n">
        <v>90</v>
      </c>
      <c r="C436" s="2" t="inlineStr">
        <is>
          <t>090_2019_Roles of the GA-mediated SPL Gene Family and miR156 in the Floral Development of Chinese Chestnu.md</t>
        </is>
      </c>
      <c r="D436" s="2" t="inlineStr">
        <is>
          <t>赤霉素介导的SPL基因家族与miR156在中国板栗花发育中的作用</t>
        </is>
      </c>
      <c r="E436" s="2" t="inlineStr">
        <is>
          <t>生理与分子机制</t>
        </is>
      </c>
      <c r="F436" s="2" t="inlineStr">
        <is>
          <t>栽培管理</t>
        </is>
      </c>
      <c r="G436" s="2" t="inlineStr">
        <is>
          <t>板栗雌雄花比例悬殊与低产</t>
        </is>
      </c>
      <c r="H436" s="2" t="inlineStr">
        <is>
          <t>板栗为雌雄同株异花植物，雌花与雄花数量比例可达1:2400-4000，大量雄花序消耗过多树体营养，是板栗低产的重要原因之一，调控雌雄花比例是增产关键方向</t>
        </is>
      </c>
    </row>
    <row r="437">
      <c r="A437" s="2" t="n">
        <v>436</v>
      </c>
      <c r="B437" s="2" t="n">
        <v>90</v>
      </c>
      <c r="C437" s="2" t="inlineStr">
        <is>
          <t>090_2019_Roles of the GA-mediated SPL Gene Family and miR156 in the Floral Development of Chinese Chestnu.md</t>
        </is>
      </c>
      <c r="D437" s="2" t="inlineStr">
        <is>
          <t>赤霉素介导的SPL基因家族与miR156在中国板栗花发育中的作用</t>
        </is>
      </c>
      <c r="E437" s="2" t="inlineStr">
        <is>
          <t>生理与分子机制</t>
        </is>
      </c>
      <c r="F437" s="2" t="inlineStr">
        <is>
          <t>栽培管理</t>
        </is>
      </c>
      <c r="G437" s="2" t="inlineStr">
        <is>
          <t>多效唑促进雌花形成</t>
        </is>
      </c>
      <c r="H437" s="2" t="inlineStr">
        <is>
          <t>花芽萌动前喷施1000 mg/L多效唑（PP333）显著增加每枝雌花簇数（3.70±1.42，对照2.71±1.62），而100 mg/L赤霉素使雌花簇/雄花序比从1.50降至1.14、雌花数/雄花序比从0.47降至0.22，生产上化控促雌可参考</t>
        </is>
      </c>
    </row>
    <row r="438">
      <c r="A438" s="2" t="n">
        <v>437</v>
      </c>
      <c r="B438" s="2" t="n">
        <v>90</v>
      </c>
      <c r="C438" s="2" t="inlineStr">
        <is>
          <t>090_2019_Roles of the GA-mediated SPL Gene Family and miR156 in the Floral Development of Chinese Chestnu.md</t>
        </is>
      </c>
      <c r="D438" s="2" t="inlineStr">
        <is>
          <t>赤霉素介导的SPL基因家族与miR156在中国板栗花发育中的作用</t>
        </is>
      </c>
      <c r="E438" s="2" t="inlineStr">
        <is>
          <t>生理与分子机制</t>
        </is>
      </c>
      <c r="F438" s="2" t="inlineStr">
        <is>
          <t>基础研究</t>
        </is>
      </c>
      <c r="G438" s="2" t="inlineStr">
        <is>
          <t>板栗SPL基因家族特征</t>
        </is>
      </c>
      <c r="H438" s="2" t="inlineStr">
        <is>
          <t>板栗基因组含18个SPL转录因子基因，其中10个含miR156互补区；基于SBP结构域分为8组，蛋白长151-1091个氨基酸；同组基因基序组成和表达模式相似，暗示功能相近；CmSPL1/12/14为非miR156靶基因、在各器官组成型高表达</t>
        </is>
      </c>
    </row>
    <row r="439">
      <c r="A439" s="2" t="n">
        <v>438</v>
      </c>
      <c r="B439" s="2" t="n">
        <v>90</v>
      </c>
      <c r="C439" s="2" t="inlineStr">
        <is>
          <t>090_2019_Roles of the GA-mediated SPL Gene Family and miR156 in the Floral Development of Chinese Chestnu.md</t>
        </is>
      </c>
      <c r="D439" s="2" t="inlineStr">
        <is>
          <t>赤霉素介导的SPL基因家族与miR156在中国板栗花发育中的作用</t>
        </is>
      </c>
      <c r="E439" s="2" t="inlineStr">
        <is>
          <t>生理与分子机制</t>
        </is>
      </c>
      <c r="F439" s="2" t="inlineStr">
        <is>
          <t>基础研究</t>
        </is>
      </c>
      <c r="G439" s="2" t="inlineStr">
        <is>
          <t>GA-miR156-SPL调控通路</t>
        </is>
      </c>
      <c r="H439" s="2" t="inlineStr">
        <is>
          <t>GA处理显著上调CmmiR156并下调其靶基因CmSPL6/9/16表达；RLM-RACE证实miR156分别在互补区第12和第10位碱基切割CmSPL9和CmSPL16（剪切效率10/10和8/10），揭示GA可能经miR156间接调控SPL影响板栗花发育</t>
        </is>
      </c>
    </row>
    <row r="440">
      <c r="A440" s="2" t="n">
        <v>439</v>
      </c>
      <c r="B440" s="2" t="n">
        <v>90</v>
      </c>
      <c r="C440" s="2" t="inlineStr">
        <is>
          <t>090_2019_Roles of the GA-mediated SPL Gene Family and miR156 in the Floral Development of Chinese Chestnu.md</t>
        </is>
      </c>
      <c r="D440" s="2" t="inlineStr">
        <is>
          <t>赤霉素介导的SPL基因家族与miR156在中国板栗花发育中的作用</t>
        </is>
      </c>
      <c r="E440" s="2" t="inlineStr">
        <is>
          <t>生理与分子机制</t>
        </is>
      </c>
      <c r="F440" s="2" t="inlineStr">
        <is>
          <t>基础研究</t>
        </is>
      </c>
      <c r="G440" s="2" t="inlineStr">
        <is>
          <t>CmmiR156器官表达特异性</t>
        </is>
      </c>
      <c r="H440" s="2" t="inlineStr">
        <is>
          <t>CmmiR156主要在雄花簇和雄蕊中表达，表达量约为雌花的2倍；而多数miR156靶SPL基因在雄花中表达高于雄花簇和雄蕊，提示miR156-SPL模块参与板栗雄花发育调控</t>
        </is>
      </c>
    </row>
    <row r="441">
      <c r="A441" s="2" t="n">
        <v>440</v>
      </c>
      <c r="B441" s="2" t="n">
        <v>91</v>
      </c>
      <c r="C441" s="2" t="inlineStr">
        <is>
          <t>091_2019_The Chinese chestnut genome_ a reference for species restoration.md</t>
        </is>
      </c>
      <c r="D441" s="2" t="inlineStr">
        <is>
          <t>中国板栗基因组：物种恢复的参考基因组</t>
        </is>
      </c>
      <c r="E441" s="2" t="inlineStr">
        <is>
          <t>基因组与基因家族</t>
        </is>
      </c>
      <c r="F441" s="2" t="inlineStr">
        <is>
          <t>基础研究</t>
        </is>
      </c>
      <c r="G441" s="2" t="inlineStr">
        <is>
          <t>板栗参考基因组基本参数</t>
        </is>
      </c>
      <c r="H441" s="2" t="inlineStr">
        <is>
          <t>板栗基因组约794 Mb，V3.2版组装达783.4 Mb（约98%基因组），构建了12条假染色体（421.3 Mb），预测30,835个高质量基因模型，BUSCO评估93%的植物单拷贝基因完整，基因模型数量与栓皮栎（37,724）和夏栎（25,808）相当。</t>
        </is>
      </c>
    </row>
    <row r="442">
      <c r="A442" s="2" t="n">
        <v>441</v>
      </c>
      <c r="B442" s="2" t="n">
        <v>91</v>
      </c>
      <c r="C442" s="2" t="inlineStr">
        <is>
          <t>091_2019_The Chinese chestnut genome_ a reference for species restoration.md</t>
        </is>
      </c>
      <c r="D442" s="2" t="inlineStr">
        <is>
          <t>中国板栗基因组：物种恢复的参考基因组</t>
        </is>
      </c>
      <c r="E442" s="2" t="inlineStr">
        <is>
          <t>基因组与基因家族</t>
        </is>
      </c>
      <c r="F442" s="2" t="inlineStr">
        <is>
          <t>繁殖育种</t>
        </is>
      </c>
      <c r="G442" s="2" t="inlineStr">
        <is>
          <t>亚洲三种栗的遗传多样性与亲缘关系</t>
        </is>
      </c>
      <c r="H442" s="2" t="inlineStr">
        <is>
          <t>对板栗、茅栗、锥栗共98棵野生树重测序：平均杂合度茅栗0.0055、锥栗0.0052均高于板栗0.0039；板栗与茅栗构成单支系（分歧时间约48.5万年前），茅栗对栗疫病抗性最强；约112个基因存在板栗-茅栗种间渐渗，提示板栗抗病性可能部分来自与茅栗的杂交渐渗。</t>
        </is>
      </c>
    </row>
    <row r="443">
      <c r="A443" s="2" t="n">
        <v>442</v>
      </c>
      <c r="B443" s="2" t="n">
        <v>91</v>
      </c>
      <c r="C443" s="2" t="inlineStr">
        <is>
          <t>091_2019_The Chinese chestnut genome_ a reference for species restoration.md</t>
        </is>
      </c>
      <c r="D443" s="2" t="inlineStr">
        <is>
          <t>中国板栗基因组：物种恢复的参考基因组</t>
        </is>
      </c>
      <c r="E443" s="2" t="inlineStr">
        <is>
          <t>基因组与基因家族</t>
        </is>
      </c>
      <c r="F443" s="2" t="inlineStr">
        <is>
          <t>繁殖育种</t>
        </is>
      </c>
      <c r="G443" s="2" t="inlineStr">
        <is>
          <t>抗栗疫病候选基因</t>
        </is>
      </c>
      <c r="H443" s="2" t="inlineStr">
        <is>
          <t>在LGB抗栗疫病主效QTL cbr1的QTL重叠区（约1.122 Mb、13个contig）中，仅一个基因（IP5P1，I型肌醇多磷酸5-磷酸酶，GO注释为ABA激活信号通路）在板栗中表现出强纯化选择信号（TajD&lt;-2），美洲栗中无此信号，是最有力的抗病候选基因；另有maf-like（MADS affecting flowering）蛋白基因位于cbr1核心区。</t>
        </is>
      </c>
    </row>
    <row r="444">
      <c r="A444" s="2" t="n">
        <v>443</v>
      </c>
      <c r="B444" s="2" t="n">
        <v>91</v>
      </c>
      <c r="C444" s="2" t="inlineStr">
        <is>
          <t>091_2019_The Chinese chestnut genome_ a reference for species restoration.md</t>
        </is>
      </c>
      <c r="D444" s="2" t="inlineStr">
        <is>
          <t>中国板栗基因组：物种恢复的参考基因组</t>
        </is>
      </c>
      <c r="E444" s="2" t="inlineStr">
        <is>
          <t>基因组与基因家族</t>
        </is>
      </c>
      <c r="F444" s="2" t="inlineStr">
        <is>
          <t>繁殖育种</t>
        </is>
      </c>
      <c r="G444" s="2" t="inlineStr">
        <is>
          <t>抗疫霉根腐病候选基因</t>
        </is>
      </c>
      <c r="H444" s="2" t="inlineStr">
        <is>
          <t>LGE上3个抗疫霉根腐病（P. cinnamomi）QTL（qPcE.1-qPcE.3）内共34个区域在板栗中受纯化选择，候选基因涉及细胞壁修饰（果胶甲酯酶CGR2、β-1,3-葡聚糖酶、细胞壁转化酶CWINV1）、G型凝集素受体激酶G-LecRK、富半胱氨酸受体类激酶CRKs串联重复簇、蛋白二硫键异构酶、ABC转运蛋白及鸟氨酸δ-氨基转移酶（与脯氨酸代谢和渗透调节相关）。</t>
        </is>
      </c>
    </row>
    <row r="445">
      <c r="A445" s="2" t="n">
        <v>444</v>
      </c>
      <c r="B445" s="2" t="n">
        <v>91</v>
      </c>
      <c r="C445" s="2" t="inlineStr">
        <is>
          <t>091_2019_The Chinese chestnut genome_ a reference for species restoration.md</t>
        </is>
      </c>
      <c r="D445" s="2" t="inlineStr">
        <is>
          <t>中国板栗基因组：物种恢复的参考基因组</t>
        </is>
      </c>
      <c r="E445" s="2" t="inlineStr">
        <is>
          <t>基因组与基因家族</t>
        </is>
      </c>
      <c r="F445" s="2" t="inlineStr">
        <is>
          <t>基础研究</t>
        </is>
      </c>
      <c r="G445" s="2" t="inlineStr">
        <is>
          <t>板栗NBS-LRR抗病基因家族规模</t>
        </is>
      </c>
      <c r="H445" s="2" t="inlineStr">
        <is>
          <t>板栗基因组NBS-LRR类抗病基因仅300个，低于桃（386）、葡萄（450）、杨树（556）和橡树（874），可能与串联重复基因在组装中被折叠及高杂合度有关，提示板栗抗病性可能更多依赖少数主效位点。</t>
        </is>
      </c>
    </row>
    <row r="446">
      <c r="A446" s="2" t="n">
        <v>445</v>
      </c>
      <c r="B446" s="2" t="n">
        <v>91</v>
      </c>
      <c r="C446" s="2" t="inlineStr">
        <is>
          <t>091_2019_The Chinese chestnut genome_ a reference for species restoration.md</t>
        </is>
      </c>
      <c r="D446" s="2" t="inlineStr">
        <is>
          <t>中国板栗基因组：物种恢复的参考基因组</t>
        </is>
      </c>
      <c r="E446" s="2" t="inlineStr">
        <is>
          <t>基因组与基因家族</t>
        </is>
      </c>
      <c r="F446" s="2" t="inlineStr">
        <is>
          <t>基础研究</t>
        </is>
      </c>
      <c r="G446" s="2" t="inlineStr">
        <is>
          <t>栗与近缘树种基因组共线性与芽萌发位点</t>
        </is>
      </c>
      <c r="H446" s="2" t="inlineStr">
        <is>
          <t>板栗与橡树（同科）染色体水平高度共线性，与桃（蔷薇科）也存在大片段共线性，壳斗科与蔷薇科仅少数染色体断裂/融合差异；三物种共同的芽萌发QTL区域含DAM（MADS-box）基因同源体，该基因在板栗中受纯化选择，是控制休眠与萌芽的主效位点，与桃中DAM基因6拷贝串联重复不同。</t>
        </is>
      </c>
    </row>
    <row r="447">
      <c r="A447" s="2" t="n">
        <v>446</v>
      </c>
      <c r="B447" s="2" t="n">
        <v>92</v>
      </c>
      <c r="C447" s="2" t="inlineStr">
        <is>
          <t>092_2019_Transcriptome Analysis of Chinese Chestnut (Castanea mollissima Blume) in Response to Dryocosmus.md</t>
        </is>
      </c>
      <c r="D447" s="2" t="inlineStr">
        <is>
          <t>板栗对栗瘿蜂侵染响应的转录组分析</t>
        </is>
      </c>
      <c r="E447" s="2" t="inlineStr">
        <is>
          <t>病虫害防治</t>
        </is>
      </c>
      <c r="F447" s="2" t="inlineStr">
        <is>
          <t>病虫害防治</t>
        </is>
      </c>
      <c r="G447" s="2" t="inlineStr">
        <is>
          <t>栗瘿蜂危害特点与虫瘿发育期</t>
        </is>
      </c>
      <c r="H447" s="2" t="inlineStr">
        <is>
          <t>栗瘿蜂是栗属最毁灭性害虫之一，致瘿抑制花芽和新梢发育、减少光合面积，可致树体死亡；虫瘿发育可分4个肉眼可辨时期：始发期（瘿小）、生长早期、生长后期（瘿明显增大）、成熟期（木质化、深红色），生长早中期瘿组织从叶片吸取养分造成伤害加剧。</t>
        </is>
      </c>
    </row>
    <row r="448">
      <c r="A448" s="2" t="n">
        <v>447</v>
      </c>
      <c r="B448" s="2" t="n">
        <v>92</v>
      </c>
      <c r="C448" s="2" t="inlineStr">
        <is>
          <t>092_2019_Transcriptome Analysis of Chinese Chestnut (Castanea mollissima Blume) in Response to Dryocosmus.md</t>
        </is>
      </c>
      <c r="D448" s="2" t="inlineStr">
        <is>
          <t>板栗对栗瘿蜂侵染响应的转录组分析</t>
        </is>
      </c>
      <c r="E448" s="2" t="inlineStr">
        <is>
          <t>病虫害防治</t>
        </is>
      </c>
      <c r="F448" s="2" t="inlineStr">
        <is>
          <t>病虫害防治</t>
        </is>
      </c>
      <c r="G448" s="2" t="inlineStr">
        <is>
          <t>板栗叶片对瘿蜂侵染的响应强度随瘿瘤发育递增</t>
        </is>
      </c>
      <c r="H448" s="2" t="inlineStr">
        <is>
          <t>瘿瘤4个发育期差异表达基因数依次为2410（始发期）、7373（生长早期）、6294（生长后期）、9412（成熟期），共上调基因549个、共下调196个；叶片防御响应从生长早期（B期）开始大幅启动，说明瘿蜂危害随瘿瘤生长累积。</t>
        </is>
      </c>
    </row>
    <row r="449">
      <c r="A449" s="2" t="n">
        <v>448</v>
      </c>
      <c r="B449" s="2" t="n">
        <v>92</v>
      </c>
      <c r="C449" s="2" t="inlineStr">
        <is>
          <t>092_2019_Transcriptome Analysis of Chinese Chestnut (Castanea mollissima Blume) in Response to Dryocosmus.md</t>
        </is>
      </c>
      <c r="D449" s="2" t="inlineStr">
        <is>
          <t>板栗对栗瘿蜂侵染响应的转录组分析</t>
        </is>
      </c>
      <c r="E449" s="2" t="inlineStr">
        <is>
          <t>病虫害防治</t>
        </is>
      </c>
      <c r="F449" s="2" t="inlineStr">
        <is>
          <t>基础研究</t>
        </is>
      </c>
      <c r="G449" s="2" t="inlineStr">
        <is>
          <t>激素与钙信号及WRKY转录因子的防御作用</t>
        </is>
      </c>
      <c r="H449" s="2" t="inlineStr">
        <is>
          <t>瘿蜂侵染早期激活JA信号（bHLH转录因子显著上调）、SA信号（早期显著诱导）和Ca2+信号（CML基因先抑后扬）；31个WRKY转录因子差异表达、多数上调（始发期11个上调），WRKY可作为抗瘿蜂响应的分子标记候选。</t>
        </is>
      </c>
    </row>
    <row r="450">
      <c r="A450" s="2" t="n">
        <v>449</v>
      </c>
      <c r="B450" s="2" t="n">
        <v>92</v>
      </c>
      <c r="C450" s="2" t="inlineStr">
        <is>
          <t>092_2019_Transcriptome Analysis of Chinese Chestnut (Castanea mollissima Blume) in Response to Dryocosmus.md</t>
        </is>
      </c>
      <c r="D450" s="2" t="inlineStr">
        <is>
          <t>板栗对栗瘿蜂侵染响应的转录组分析</t>
        </is>
      </c>
      <c r="E450" s="2" t="inlineStr">
        <is>
          <t>病虫害防治</t>
        </is>
      </c>
      <c r="F450" s="2" t="inlineStr">
        <is>
          <t>病虫害防治</t>
        </is>
      </c>
      <c r="G450" s="2" t="inlineStr">
        <is>
          <t>瘿蜂抑制板栗萜类和角质层代谢</t>
        </is>
      </c>
      <c r="H450" s="2" t="inlineStr">
        <is>
          <t>虫瘿形成过程中萜烯合酶、香叶基香叶基二磷酸合酶（GGPP）基因下调，72个萜类合成相关基因（主要为GDSL酯酶/脂肪酶）多数下调，蜡酯合酶和3个O-酰基转移酶WSD1及4个CER1基因显著下调，表明瘿蜂可能通过抑制萜类挥发物合成和角质层加固来增加板栗感虫性。</t>
        </is>
      </c>
    </row>
    <row r="451">
      <c r="A451" s="2" t="n">
        <v>450</v>
      </c>
      <c r="B451" s="2" t="n">
        <v>92</v>
      </c>
      <c r="C451" s="2" t="inlineStr">
        <is>
          <t>092_2019_Transcriptome Analysis of Chinese Chestnut (Castanea mollissima Blume) in Response to Dryocosmus.md</t>
        </is>
      </c>
      <c r="D451" s="2" t="inlineStr">
        <is>
          <t>板栗对栗瘿蜂侵染响应的转录组分析</t>
        </is>
      </c>
      <c r="E451" s="2" t="inlineStr">
        <is>
          <t>病虫害防治</t>
        </is>
      </c>
      <c r="F451" s="2" t="inlineStr">
        <is>
          <t>病虫害防治</t>
        </is>
      </c>
      <c r="G451" s="2" t="inlineStr">
        <is>
          <t>苯丙烷途径全面激活参与防御</t>
        </is>
      </c>
      <c r="H451" s="2" t="inlineStr">
        <is>
          <t>所有苯丙氨酸解氨酶（PAL）基因在瘿瘤形成全程上调，4个CCOAOMT中3个上调、CAD和2个莽草素O-羟基肉桂酰转移酶上调、4个COMT中3个上调，提示木质素与多酚类物质合成增强，与葡萄、大豆等植物抗虫瘿/食叶害虫的苯丙烷响应一致。</t>
        </is>
      </c>
    </row>
    <row r="452">
      <c r="A452" s="2" t="n">
        <v>451</v>
      </c>
      <c r="B452" s="2" t="n">
        <v>92</v>
      </c>
      <c r="C452" s="2" t="inlineStr">
        <is>
          <t>092_2019_Transcriptome Analysis of Chinese Chestnut (Castanea mollissima Blume) in Response to Dryocosmus.md</t>
        </is>
      </c>
      <c r="D452" s="2" t="inlineStr">
        <is>
          <t>板栗对栗瘿蜂侵染响应的转录组分析</t>
        </is>
      </c>
      <c r="E452" s="2" t="inlineStr">
        <is>
          <t>病虫害防治</t>
        </is>
      </c>
      <c r="F452" s="2" t="inlineStr">
        <is>
          <t>基础研究</t>
        </is>
      </c>
      <c r="G452" s="2" t="inlineStr">
        <is>
          <t>ROS代谢重编程与超敏反应迹象</t>
        </is>
      </c>
      <c r="H452" s="2" t="inlineStr">
        <is>
          <t>4个SOD基因在B-D期显著下调（仅1个在D期上调），2个CAT基因和多数过氧化物酶基因上调，6个呼吸爆发氧化酶（RBOH）基因全部上调，表明H2O2积累减少但其他ROS可能触发超敏反应（类似抗性杂种'Bouche de Bétizac'对瘿蜂的超敏反应），PR蛋白和几丁质酶基因也显著诱导。</t>
        </is>
      </c>
    </row>
    <row r="453">
      <c r="A453" s="2" t="n">
        <v>452</v>
      </c>
      <c r="B453" s="2" t="n">
        <v>93</v>
      </c>
      <c r="C453" s="2" t="inlineStr">
        <is>
          <t>093_2018_Amino acid composition and nutritional value evaluation of Chinese chestnut ( Castanea mollissim.md</t>
        </is>
      </c>
      <c r="D453" s="2" t="inlineStr">
        <is>
          <t>中国板栗的氨基酸组成、营养价值评价及其蛋白亚基</t>
        </is>
      </c>
      <c r="E453" s="2" t="inlineStr">
        <is>
          <t>果实品质与营养</t>
        </is>
      </c>
      <c r="F453" s="2" t="inlineStr">
        <is>
          <t>营养功效</t>
        </is>
      </c>
      <c r="G453" s="2" t="inlineStr">
        <is>
          <t>板栗蛋白的组分构成特征</t>
        </is>
      </c>
      <c r="H453" s="2" t="inlineStr">
        <is>
          <t>板栗可溶性蛋白以清蛋白为主（平均71.62%，湖南78.44%最高），谷蛋白占28.38%，完全不含球蛋白和醇溶蛋白；清蛋白/谷蛋白比值因产地而异（河南2.1、湖南3.7、广东2.3），可用于鉴别不同来源的板栗蛋白。</t>
        </is>
      </c>
    </row>
    <row r="454">
      <c r="A454" s="2" t="n">
        <v>453</v>
      </c>
      <c r="B454" s="2" t="n">
        <v>93</v>
      </c>
      <c r="C454" s="2" t="inlineStr">
        <is>
          <t>093_2018_Amino acid composition and nutritional value evaluation of Chinese chestnut ( Castanea mollissim.md</t>
        </is>
      </c>
      <c r="D454" s="2" t="inlineStr">
        <is>
          <t>中国板栗的氨基酸组成、营养价值评价及其蛋白亚基</t>
        </is>
      </c>
      <c r="E454" s="2" t="inlineStr">
        <is>
          <t>果实品质与营养</t>
        </is>
      </c>
      <c r="F454" s="2" t="inlineStr">
        <is>
          <t>营养功效</t>
        </is>
      </c>
      <c r="G454" s="2" t="inlineStr">
        <is>
          <t>板栗粗蛋白含量及产地差异</t>
        </is>
      </c>
      <c r="H454" s="2" t="inlineStr">
        <is>
          <t>板栗粗蛋白含量（干基）河南8.12%、湖南9.74%、广东7.54%，平均8.47%；可溶性蛋白4.86%-6.68%（平均5.70%）；100 g鲜栗约含蛋白3.5 g，占女性每日推荐摄入量的9.2%、男性的7.6%；含硫氨基酸（蛋氨酸+胱氨酸）3.8-3.9 g/100g蛋白，高于FAO/WHO成人标准2.3 g/100g。</t>
        </is>
      </c>
    </row>
    <row r="455">
      <c r="A455" s="2" t="n">
        <v>454</v>
      </c>
      <c r="B455" s="2" t="n">
        <v>93</v>
      </c>
      <c r="C455" s="2" t="inlineStr">
        <is>
          <t>093_2018_Amino acid composition and nutritional value evaluation of Chinese chestnut ( Castanea mollissim.md</t>
        </is>
      </c>
      <c r="D455" s="2" t="inlineStr">
        <is>
          <t>中国板栗的氨基酸组成、营养价值评价及其蛋白亚基</t>
        </is>
      </c>
      <c r="E455" s="2" t="inlineStr">
        <is>
          <t>果实品质与营养</t>
        </is>
      </c>
      <c r="F455" s="2" t="inlineStr">
        <is>
          <t>营养功效</t>
        </is>
      </c>
      <c r="G455" s="2" t="inlineStr">
        <is>
          <t>板栗蛋白必需氨基酸组成均衡</t>
        </is>
      </c>
      <c r="H455" s="2" t="inlineStr">
        <is>
          <t>板栗必需氨基酸占总氨基酸37.4%-40.5%（理想蛋白约37%），三种产地板栗的总必需氨基酸AAS为136%-147%，全部超过FAO/WHO(2013)对大龄儿童、青少年和成人的要求；EAAI为76.0-79.0，赖氨酸AAS达131%-133%，天冬氨酸(16.6-20.1%)和谷氨酸(15.8-17.0%)为最丰富氨基酸，赋予板栗特殊风味。</t>
        </is>
      </c>
    </row>
    <row r="456">
      <c r="A456" s="2" t="n">
        <v>455</v>
      </c>
      <c r="B456" s="2" t="n">
        <v>93</v>
      </c>
      <c r="C456" s="2" t="inlineStr">
        <is>
          <t>093_2018_Amino acid composition and nutritional value evaluation of Chinese chestnut ( Castanea mollissim.md</t>
        </is>
      </c>
      <c r="D456" s="2" t="inlineStr">
        <is>
          <t>中国板栗的氨基酸组成、营养价值评价及其蛋白亚基</t>
        </is>
      </c>
      <c r="E456" s="2" t="inlineStr">
        <is>
          <t>果实品质与营养</t>
        </is>
      </c>
      <c r="F456" s="2" t="inlineStr">
        <is>
          <t>营养功效</t>
        </is>
      </c>
      <c r="G456" s="2" t="inlineStr">
        <is>
          <t>亮氨酸为限制性氨基酸及膳食搭配建议</t>
        </is>
      </c>
      <c r="H456" s="2" t="inlineStr">
        <is>
          <t>板栗蛋白第一限制性氨基酸为亮氨酸（Leu AAS最低约110-121%），第二限制性氨基酸河南为异亮氨酸、湖南和广东为缬氨酸；DIAAS为91%-98%，属'良好'级（75-99%），高于大米（73%）、小麦粉（51%）、扁豆（54%），板栗膳食宜与富含亮氨酸的食物搭配以提高蛋白质利用。</t>
        </is>
      </c>
    </row>
    <row r="457">
      <c r="A457" s="2" t="n">
        <v>456</v>
      </c>
      <c r="B457" s="2" t="n">
        <v>93</v>
      </c>
      <c r="C457" s="2" t="inlineStr">
        <is>
          <t>093_2018_Amino acid composition and nutritional value evaluation of Chinese chestnut ( Castanea mollissim.md</t>
        </is>
      </c>
      <c r="D457" s="2" t="inlineStr">
        <is>
          <t>中国板栗的氨基酸组成、营养价值评价及其蛋白亚基</t>
        </is>
      </c>
      <c r="E457" s="2" t="inlineStr">
        <is>
          <t>果实品质与营养</t>
        </is>
      </c>
      <c r="F457" s="2" t="inlineStr">
        <is>
          <t>加工利用</t>
        </is>
      </c>
      <c r="G457" s="2" t="inlineStr">
        <is>
          <t>板栗蛋白亚基组成特点</t>
        </is>
      </c>
      <c r="H457" s="2" t="inlineStr">
        <is>
          <t>SDS-PAGE显示三产地板栗蛋白条带基本一致，由7个多肽段组成（91-93、70-72、53-55、37、27-33、20、5-15 kDa）；清蛋白主要由4个低分子量亚基构成（32、27、20、5-15 kDa），占总蛋白70%以上（78.3%HEN/72.2%HUN/74.7%GD），谷蛋白含6个亚基（92、71、54、37、33、30 kDa）；低分子量亚基有利于提高板栗蛋白的水溶性和消化性。</t>
        </is>
      </c>
    </row>
    <row r="458">
      <c r="A458" s="2" t="n">
        <v>457</v>
      </c>
      <c r="B458" s="2" t="n">
        <v>94</v>
      </c>
      <c r="C458" s="2" t="inlineStr">
        <is>
          <t>094_2018_Comparison of Physicochemical Properties of Starches from Nine Chinese Chestnut Varieties.md</t>
        </is>
      </c>
      <c r="D458" s="2" t="inlineStr">
        <is>
          <t>九个中国板栗品种淀粉理化性质比较</t>
        </is>
      </c>
      <c r="E458" s="2" t="inlineStr">
        <is>
          <t>果实品质与营养</t>
        </is>
      </c>
      <c r="F458" s="2" t="inlineStr">
        <is>
          <t>品种选择</t>
        </is>
      </c>
      <c r="G458" s="2" t="inlineStr">
        <is>
          <t>板栗淀粉含量与单果重的品种差异</t>
        </is>
      </c>
      <c r="H458" s="2" t="inlineStr">
        <is>
          <t>同农场种植条件下9个板栗品种干基淀粉含量42.7%-49.3%，平均45.8%；阳光（49.3%）和大红袍（49.2%）淀粉含量最高，二庆最低（42.7%）；鲜坚果重大红袍12.2 g最大、3113仅6.4 g，干种仁2.5-5.6 g，品种是果实大小和淀粉含量差异的主要内因。</t>
        </is>
      </c>
    </row>
    <row r="459">
      <c r="A459" s="2" t="n">
        <v>458</v>
      </c>
      <c r="B459" s="2" t="n">
        <v>94</v>
      </c>
      <c r="C459" s="2" t="inlineStr">
        <is>
          <t>094_2018_Comparison of Physicochemical Properties of Starches from Nine Chinese Chestnut Varieties.md</t>
        </is>
      </c>
      <c r="D459" s="2" t="inlineStr">
        <is>
          <t>九个中国板栗品种淀粉理化性质比较</t>
        </is>
      </c>
      <c r="E459" s="2" t="inlineStr">
        <is>
          <t>果实品质与营养</t>
        </is>
      </c>
      <c r="F459" s="2" t="inlineStr">
        <is>
          <t>加工利用</t>
        </is>
      </c>
      <c r="G459" s="2" t="inlineStr">
        <is>
          <t>板栗淀粉为C型结晶及品种细分</t>
        </is>
      </c>
      <c r="H459" s="2" t="inlineStr">
        <is>
          <t>9个板栗品种淀粉均为C型结晶（兼具A型17°和5.6°B型特征峰），其中黑山寨7号、密5、密6含较多B型组分属CB型；表观直链淀粉23.8%-27.3%（燕山红27.3%最高、大红袍23.8%最低），相对结晶度18.5%-21.2%；欧洲栗淀粉为B型，日本栗为CB型，反映种间差异。</t>
        </is>
      </c>
    </row>
    <row r="460">
      <c r="A460" s="2" t="n">
        <v>459</v>
      </c>
      <c r="B460" s="2" t="n">
        <v>94</v>
      </c>
      <c r="C460" s="2" t="inlineStr">
        <is>
          <t>094_2018_Comparison of Physicochemical Properties of Starches from Nine Chinese Chestnut Varieties.md</t>
        </is>
      </c>
      <c r="D460" s="2" t="inlineStr">
        <is>
          <t>九个中国板栗品种淀粉理化性质比较</t>
        </is>
      </c>
      <c r="E460" s="2" t="inlineStr">
        <is>
          <t>果实品质与营养</t>
        </is>
      </c>
      <c r="F460" s="2" t="inlineStr">
        <is>
          <t>加工利用</t>
        </is>
      </c>
      <c r="G460" s="2" t="inlineStr">
        <is>
          <t>板栗淀粉糊化温度范围</t>
        </is>
      </c>
      <c r="H460" s="2" t="inlineStr">
        <is>
          <t>板栗淀粉糊化起始温度60.4-63.9°C、峰值64.8-68.3°C、终止70.5-74.5°C，普遍高于欧洲栗（To 57.1°C、Tp 61.9°C）；品种间差异显著：密6糊化温度最低（To 60.4°C、Tp 64.8°C），二庆早和3113最高（To 62.7-63.9°C），加工时密6更易糊化熟化。</t>
        </is>
      </c>
    </row>
    <row r="461">
      <c r="A461" s="2" t="n">
        <v>460</v>
      </c>
      <c r="B461" s="2" t="n">
        <v>94</v>
      </c>
      <c r="C461" s="2" t="inlineStr">
        <is>
          <t>094_2018_Comparison of Physicochemical Properties of Starches from Nine Chinese Chestnut Varieties.md</t>
        </is>
      </c>
      <c r="D461" s="2" t="inlineStr">
        <is>
          <t>九个中国板栗品种淀粉理化性质比较</t>
        </is>
      </c>
      <c r="E461" s="2" t="inlineStr">
        <is>
          <t>果实品质与营养</t>
        </is>
      </c>
      <c r="F461" s="2" t="inlineStr">
        <is>
          <t>加工利用</t>
        </is>
      </c>
      <c r="G461" s="2" t="inlineStr">
        <is>
          <t>板栗淀粉黏度特性</t>
        </is>
      </c>
      <c r="H461" s="2" t="inlineStr">
        <is>
          <t>峰值黏度5524-6505 mPas（密5最高6505、二庆早最低5524），崩解值2205-2954 mPas，回生值1326-1788 mPas（黑山寨7号最高1788最易回生、密5最低1326）；峰值和崩解黏度与糊化温度呈负相关，高黏度品种适合增稠类食品加工。</t>
        </is>
      </c>
    </row>
    <row r="462">
      <c r="A462" s="2" t="n">
        <v>461</v>
      </c>
      <c r="B462" s="2" t="n">
        <v>94</v>
      </c>
      <c r="C462" s="2" t="inlineStr">
        <is>
          <t>094_2018_Comparison of Physicochemical Properties of Starches from Nine Chinese Chestnut Varieties.md</t>
        </is>
      </c>
      <c r="D462" s="2" t="inlineStr">
        <is>
          <t>九个中国板栗品种淀粉理化性质比较</t>
        </is>
      </c>
      <c r="E462" s="2" t="inlineStr">
        <is>
          <t>果实品质与营养</t>
        </is>
      </c>
      <c r="F462" s="2" t="inlineStr">
        <is>
          <t>营养功效</t>
        </is>
      </c>
      <c r="G462" s="2" t="inlineStr">
        <is>
          <t>天然板栗淀粉抗性淀粉极高、熟化后剧降</t>
        </is>
      </c>
      <c r="H462" s="2" t="inlineStr">
        <is>
          <t>天然板栗淀粉抗性淀粉（RS）高达84.4%-90.7%，快消化淀粉仅2.6-3.7%，生栗淀粉几乎不被消化；经98°C加热糊化后快消化淀粉升至79.6-89.5%、RS降至7.1-17.4%（燕山红糊化后RS仅7.1%、消化最快），说明烹调加热是决定板栗淀粉消化性和血糖反应的关键。</t>
        </is>
      </c>
    </row>
    <row r="463">
      <c r="A463" s="2" t="n">
        <v>462</v>
      </c>
      <c r="B463" s="2" t="n">
        <v>94</v>
      </c>
      <c r="C463" s="2" t="inlineStr">
        <is>
          <t>094_2018_Comparison of Physicochemical Properties of Starches from Nine Chinese Chestnut Varieties.md</t>
        </is>
      </c>
      <c r="D463" s="2" t="inlineStr">
        <is>
          <t>九个中国板栗品种淀粉理化性质比较</t>
        </is>
      </c>
      <c r="E463" s="2" t="inlineStr">
        <is>
          <t>果实品质与营养</t>
        </is>
      </c>
      <c r="F463" s="2" t="inlineStr">
        <is>
          <t>加工利用</t>
        </is>
      </c>
      <c r="G463" s="2" t="inlineStr">
        <is>
          <t>淀粉结构-性质关系的品种差异</t>
        </is>
      </c>
      <c r="H463" s="2" t="inlineStr">
        <is>
          <t>主成分分析显示9个品种淀粉性质存在差异，密6与黑山寨7号差异最大（PC1得分相反）；糊化淀粉消化性与直链淀粉含量、峰值/崩解黏度正相关，与片层峰强度、糊化温度负相关，为按加工用途选择品种（高消化或高抗性淀粉）提供理论依据。</t>
        </is>
      </c>
    </row>
    <row r="464">
      <c r="A464" s="2" t="n">
        <v>463</v>
      </c>
      <c r="B464" s="2" t="n">
        <v>95</v>
      </c>
      <c r="C464" s="2" t="inlineStr">
        <is>
          <t>095_2018_Construction of a SNP-Based High-Density Genetic Map Using Genotyping by Sequencing (GBS) and QT.md</t>
        </is>
      </c>
      <c r="D464" s="2" t="inlineStr">
        <is>
          <t>利用GBS构建板栗SNP高密度遗传图谱及坚果性状QTL分析</t>
        </is>
      </c>
      <c r="E464" s="2" t="inlineStr">
        <is>
          <t>育种与遗传资源</t>
        </is>
      </c>
      <c r="F464" s="2" t="inlineStr">
        <is>
          <t>繁殖育种</t>
        </is>
      </c>
      <c r="G464" s="2" t="inlineStr">
        <is>
          <t>板栗迄今最高密度遗传图谱</t>
        </is>
      </c>
      <c r="H464" s="2" t="inlineStr">
        <is>
          <t>基于GBS构建的板栗遗传图谱含2620个SNP标记、总长1078.06 cM、12个连锁群、平均标记间距0.41 cM，远超此前栗属图谱（此前最高为Kubisiak等2013年1393个标记、平均间距0.70 cM），标志间距&lt;1 cM的区间占2377/2608。</t>
        </is>
      </c>
    </row>
    <row r="465">
      <c r="A465" s="2" t="n">
        <v>464</v>
      </c>
      <c r="B465" s="2" t="n">
        <v>95</v>
      </c>
      <c r="C465" s="2" t="inlineStr">
        <is>
          <t>095_2018_Construction of a SNP-Based High-Density Genetic Map Using Genotyping by Sequencing (GBS) and QT.md</t>
        </is>
      </c>
      <c r="D465" s="2" t="inlineStr">
        <is>
          <t>利用GBS构建板栗SNP高密度遗传图谱及坚果性状QTL分析</t>
        </is>
      </c>
      <c r="E465" s="2" t="inlineStr">
        <is>
          <t>育种与遗传资源</t>
        </is>
      </c>
      <c r="F465" s="2" t="inlineStr">
        <is>
          <t>繁殖育种</t>
        </is>
      </c>
      <c r="G465" s="2" t="inlineStr">
        <is>
          <t>坚果大小与成熟期的主效QTL</t>
        </is>
      </c>
      <c r="H465" s="2" t="inlineStr">
        <is>
          <t>5个坚果性状共定位17个QTL；果厚QTL qNT-I-1（LGI 23.97 cM，两年PVE 12%-16%）和成熟期QTL qRP-B-1（LGB 29.34 cM，PVE 15%）为主效QTL，可作为分子标记辅助选择（MAS）育种的候选标记位点，用于早期筛选大果和早熟单株。</t>
        </is>
      </c>
    </row>
    <row r="466">
      <c r="A466" s="2" t="n">
        <v>465</v>
      </c>
      <c r="B466" s="2" t="n">
        <v>95</v>
      </c>
      <c r="C466" s="2" t="inlineStr">
        <is>
          <t>095_2018_Construction of a SNP-Based High-Density Genetic Map Using Genotyping by Sequencing (GBS) and QT.md</t>
        </is>
      </c>
      <c r="D466" s="2" t="inlineStr">
        <is>
          <t>利用GBS构建板栗SNP高密度遗传图谱及坚果性状QTL分析</t>
        </is>
      </c>
      <c r="E466" s="2" t="inlineStr">
        <is>
          <t>育种与遗传资源</t>
        </is>
      </c>
      <c r="F466" s="2" t="inlineStr">
        <is>
          <t>繁殖育种</t>
        </is>
      </c>
      <c r="G466" s="2" t="inlineStr">
        <is>
          <t>单果重/果厚/果宽的一因多效位点</t>
        </is>
      </c>
      <c r="H466" s="2" t="inlineStr">
        <is>
          <t>LGI 23.97 cM处的QTL在两年中同时控制单果重（qSNW-I-1，PVE 9.9%-12.7%）、果厚（qNT-I-1）和果宽（qNW-I-1），为一因多效位点；因单果重与果厚（r=0.801）、果宽（r=0.825）、果高（r=0.659）极显著正相关，选育大果品种可重点跟踪该位点。</t>
        </is>
      </c>
    </row>
    <row r="467">
      <c r="A467" s="2" t="n">
        <v>466</v>
      </c>
      <c r="B467" s="2" t="n">
        <v>95</v>
      </c>
      <c r="C467" s="2" t="inlineStr">
        <is>
          <t>095_2018_Construction of a SNP-Based High-Density Genetic Map Using Genotyping by Sequencing (GBS) and QT.md</t>
        </is>
      </c>
      <c r="D467" s="2" t="inlineStr">
        <is>
          <t>利用GBS构建板栗SNP高密度遗传图谱及坚果性状QTL分析</t>
        </is>
      </c>
      <c r="E467" s="2" t="inlineStr">
        <is>
          <t>育种与遗传资源</t>
        </is>
      </c>
      <c r="F467" s="2" t="inlineStr">
        <is>
          <t>繁殖育种</t>
        </is>
      </c>
      <c r="G467" s="2" t="inlineStr">
        <is>
          <t>成熟期性状的遗传与环境效应</t>
        </is>
      </c>
      <c r="H467" s="2" t="inlineStr">
        <is>
          <t>成熟期6个QTL分布于LGB、H、I、K、L等不同连锁群且两年间无稳定QTL（2015年qRP-I-1和qRP-L-1、2016年qRP-H-1、qRP-K-1、qRP-K-2、qRP-B-1），果高QTL也仅在2015年检出，表明成熟期和果高受环境影响大，早熟育种需多年多点表型鉴定；早熟品种具市场价格优势，是中国板栗育种主要目标（父母本成熟期相差约1个月）。</t>
        </is>
      </c>
    </row>
    <row r="468">
      <c r="A468" s="2" t="n">
        <v>467</v>
      </c>
      <c r="B468" s="2" t="n">
        <v>95</v>
      </c>
      <c r="C468" s="2" t="inlineStr">
        <is>
          <t>095_2018_Construction of a SNP-Based High-Density Genetic Map Using Genotyping by Sequencing (GBS) and QT.md</t>
        </is>
      </c>
      <c r="D468" s="2" t="inlineStr">
        <is>
          <t>利用GBS构建板栗SNP高密度遗传图谱及坚果性状QTL分析</t>
        </is>
      </c>
      <c r="E468" s="2" t="inlineStr">
        <is>
          <t>育种与遗传资源</t>
        </is>
      </c>
      <c r="F468" s="2" t="inlineStr">
        <is>
          <t>产业市场</t>
        </is>
      </c>
      <c r="G468" s="2" t="inlineStr">
        <is>
          <t>中国板栗的育种价值与产业背景</t>
        </is>
      </c>
      <c r="H468" s="2" t="inlineStr">
        <is>
          <t>中国板栗坚果产量世界第一（年产约165万吨，占全球82%），具坚果品质优、抗逆性强、抗主要病害、内皮易剥离等优点，广泛用作改良坚果品质和抗病性的杂交亲本；但常规育种幼期长达3-5年，MAS是加速育种的有效途径。</t>
        </is>
      </c>
    </row>
    <row r="469">
      <c r="A469" s="2" t="n">
        <v>468</v>
      </c>
      <c r="B469" s="2" t="n">
        <v>96</v>
      </c>
      <c r="C469" s="2" t="inlineStr">
        <is>
          <t>096_2018_Effects of drying methods on the nutritional aspects, flavor, and processing properties of Chine.md</t>
        </is>
      </c>
      <c r="D469" s="2" t="inlineStr">
        <is>
          <t>干燥方式对中国板栗营养成分、风味及加工特性的影响</t>
        </is>
      </c>
      <c r="E469" s="2" t="inlineStr">
        <is>
          <t>加工与贮藏</t>
        </is>
      </c>
      <c r="F469" s="2" t="inlineStr">
        <is>
          <t>加工利用</t>
        </is>
      </c>
      <c r="G469" s="2" t="inlineStr">
        <is>
          <t>干燥方式对板栗营养保留的影响</t>
        </is>
      </c>
      <c r="H469" s="2" t="inlineStr">
        <is>
          <t>冷冻真空干燥（FVD）最能保留营养：淀粉44.75%、还原糖14.67%、维生素C 69.72、单宁2.89%均为5种干燥方式中最高；热风干燥（55℃、10 h）因高温长时损失最大（淀粉40.8%、VC 59.74），自然干燥的淀粉和VC含量也高于热风干燥</t>
        </is>
      </c>
    </row>
    <row r="470">
      <c r="A470" s="2" t="n">
        <v>469</v>
      </c>
      <c r="B470" s="2" t="n">
        <v>96</v>
      </c>
      <c r="C470" s="2" t="inlineStr">
        <is>
          <t>096_2018_Effects of drying methods on the nutritional aspects, flavor, and processing properties of Chine.md</t>
        </is>
      </c>
      <c r="D470" s="2" t="inlineStr">
        <is>
          <t>干燥方式对中国板栗营养成分、风味及加工特性的影响</t>
        </is>
      </c>
      <c r="E470" s="2" t="inlineStr">
        <is>
          <t>加工与贮藏</t>
        </is>
      </c>
      <c r="F470" s="2" t="inlineStr">
        <is>
          <t>加工利用</t>
        </is>
      </c>
      <c r="G470" s="2" t="inlineStr">
        <is>
          <t>商业化干制工艺选择</t>
        </is>
      </c>
      <c r="H470" s="2" t="inlineStr">
        <is>
          <t>微波真空干燥（MVD，35-45℃、-0.06 MPa、仅12 min）品质仅次于冻干，营养指标（淀粉43.53%、还原糖14.4%、VC 68.2）排名第二，且干燥快、能耗低，是板栗商业化脱水最适宜方式；冻干品质最优但需36 h、能耗高，不适合工业化</t>
        </is>
      </c>
    </row>
    <row r="471">
      <c r="A471" s="2" t="n">
        <v>470</v>
      </c>
      <c r="B471" s="2" t="n">
        <v>96</v>
      </c>
      <c r="C471" s="2" t="inlineStr">
        <is>
          <t>096_2018_Effects of drying methods on the nutritional aspects, flavor, and processing properties of Chine.md</t>
        </is>
      </c>
      <c r="D471" s="2" t="inlineStr">
        <is>
          <t>干燥方式对中国板栗营养成分、风味及加工特性的影响</t>
        </is>
      </c>
      <c r="E471" s="2" t="inlineStr">
        <is>
          <t>加工与贮藏</t>
        </is>
      </c>
      <c r="F471" s="2" t="inlineStr">
        <is>
          <t>加工利用</t>
        </is>
      </c>
      <c r="G471" s="2" t="inlineStr">
        <is>
          <t>干燥方式对质地和复水性的影响</t>
        </is>
      </c>
      <c r="H471" s="2" t="inlineStr">
        <is>
          <t>热风干燥产品硬度最高（790.55 N），咀嚼性、胶着性也最大，质地最佳；微波真空干燥硬度最低（262.20 N）；冻干因多孔结构复水比最高，自然干燥复水性最差；微波干燥弹性最好</t>
        </is>
      </c>
    </row>
    <row r="472">
      <c r="A472" s="2" t="n">
        <v>471</v>
      </c>
      <c r="B472" s="2" t="n">
        <v>96</v>
      </c>
      <c r="C472" s="2" t="inlineStr">
        <is>
          <t>096_2018_Effects of drying methods on the nutritional aspects, flavor, and processing properties of Chine.md</t>
        </is>
      </c>
      <c r="D472" s="2" t="inlineStr">
        <is>
          <t>干燥方式对中国板栗营养成分、风味及加工特性的影响</t>
        </is>
      </c>
      <c r="E472" s="2" t="inlineStr">
        <is>
          <t>加工与贮藏</t>
        </is>
      </c>
      <c r="F472" s="2" t="inlineStr">
        <is>
          <t>加工利用</t>
        </is>
      </c>
      <c r="G472" s="2" t="inlineStr">
        <is>
          <t>干制板栗的风味成分构成</t>
        </is>
      </c>
      <c r="H472" s="2" t="inlineStr">
        <is>
          <t>共鉴定45种挥发性成分（5醛、4醇、4酯、8萜、16烃、8其他）；微波真空干燥样品以3-乙基-2,5-二甲基吡嗪最高（21.93%，烘烤香），其余4种方式均以苯甲醇最高（27.03%-44.07%）；苯甲醛呈愉悦坚果香，壬醛呈鱼腥味，萜烯类（石竹烯、杜松烯等）带来花果甜香</t>
        </is>
      </c>
    </row>
    <row r="473">
      <c r="A473" s="2" t="n">
        <v>472</v>
      </c>
      <c r="B473" s="2" t="n">
        <v>96</v>
      </c>
      <c r="C473" s="2" t="inlineStr">
        <is>
          <t>096_2018_Effects of drying methods on the nutritional aspects, flavor, and processing properties of Chine.md</t>
        </is>
      </c>
      <c r="D473" s="2" t="inlineStr">
        <is>
          <t>干燥方式对中国板栗营养成分、风味及加工特性的影响</t>
        </is>
      </c>
      <c r="E473" s="2" t="inlineStr">
        <is>
          <t>加工与贮藏</t>
        </is>
      </c>
      <c r="F473" s="2" t="inlineStr">
        <is>
          <t>加工利用</t>
        </is>
      </c>
      <c r="G473" s="2" t="inlineStr">
        <is>
          <t>板栗原料基本成分与干燥必要性</t>
        </is>
      </c>
      <c r="H473" s="2" t="inlineStr">
        <is>
          <t>板栗去壳栗仁初始含水率约55.3%（湿基），果肉含水约50%，季节性强且易霉变、发芽和虫害，干燥是最佳保鲜手段之一；栗仁淀粉占总碳水化合物主体（干制后40.8%-44.75%），蛋白质7.48%-7.67%（氮换算系数5.30），富含亚油酸和亚麻酸等必需脂肪酸</t>
        </is>
      </c>
    </row>
    <row r="474">
      <c r="A474" s="2" t="n">
        <v>473</v>
      </c>
      <c r="B474" s="2" t="n">
        <v>97</v>
      </c>
      <c r="C474" s="2" t="inlineStr">
        <is>
          <t>097_2018_Nutrient Status and Fruiting Response of YoungChinese Chestnut Trees Following Application ofNit.md</t>
        </is>
      </c>
      <c r="D474" s="2" t="inlineStr">
        <is>
          <t>施氮对幼龄板栗树营养状况与结实反应的影响</t>
        </is>
      </c>
      <c r="E474" s="2" t="inlineStr">
        <is>
          <t>栽培与土壤管理</t>
        </is>
      </c>
      <c r="F474" s="2" t="inlineStr">
        <is>
          <t>土壤肥料</t>
        </is>
      </c>
      <c r="G474" s="2" t="inlineStr">
        <is>
          <t>幼龄板栗施氮量与产量反应</t>
        </is>
      </c>
      <c r="H474" s="2" t="inlineStr">
        <is>
          <t>6年生'Peach'板栗连续4年施氮，产量反应滞后：2012-2013年（≤1.3 kg/株）各处理无差异，2014年起140-168 kg·hm-2处理显著高于56-84处理；累积产量随施氮线性增加，168 kg处理达7.4 kg/株、483个果，较低氮（56 kg）增产约47%；单果重15.2-16.8 g不受施氮量影响</t>
        </is>
      </c>
    </row>
    <row r="475">
      <c r="A475" s="2" t="n">
        <v>474</v>
      </c>
      <c r="B475" s="2" t="n">
        <v>97</v>
      </c>
      <c r="C475" s="2" t="inlineStr">
        <is>
          <t>097_2018_Nutrient Status and Fruiting Response of YoungChinese Chestnut Trees Following Application ofNit.md</t>
        </is>
      </c>
      <c r="D475" s="2" t="inlineStr">
        <is>
          <t>施氮对幼龄板栗树营养状况与结实反应的影响</t>
        </is>
      </c>
      <c r="E475" s="2" t="inlineStr">
        <is>
          <t>栽培与土壤管理</t>
        </is>
      </c>
      <c r="F475" s="2" t="inlineStr">
        <is>
          <t>土壤肥料</t>
        </is>
      </c>
      <c r="G475" s="2" t="inlineStr">
        <is>
          <t>板栗叶片氮诊断目标值</t>
        </is>
      </c>
      <c r="H475" s="2" t="inlineStr">
        <is>
          <t>7月15日采集向阳不结果枝中部成熟叶分析，高产幼树叶片氮2.23%-2.51%，作者建议2.4%作为幼龄板栗园叶氮目标值；结果枝叶片氮（1.97%）显著低于不结果枝（2.17%），因果实和栗苞发育额外消耗氮；施氮56 kg处理叶氮（2013年2.13%、2015年2.29%）低于三个高氮处理</t>
        </is>
      </c>
    </row>
    <row r="476">
      <c r="A476" s="2" t="n">
        <v>475</v>
      </c>
      <c r="B476" s="2" t="n">
        <v>97</v>
      </c>
      <c r="C476" s="2" t="inlineStr">
        <is>
          <t>097_2018_Nutrient Status and Fruiting Response of YoungChinese Chestnut Trees Following Application ofNit.md</t>
        </is>
      </c>
      <c r="D476" s="2" t="inlineStr">
        <is>
          <t>施氮对幼龄板栗树营养状况与结实反应的影响</t>
        </is>
      </c>
      <c r="E476" s="2" t="inlineStr">
        <is>
          <t>栽培与土壤管理</t>
        </is>
      </c>
      <c r="F476" s="2" t="inlineStr">
        <is>
          <t>产业市场</t>
        </is>
      </c>
      <c r="G476" s="2" t="inlineStr">
        <is>
          <t>施氮的经济效益分析</t>
        </is>
      </c>
      <c r="H476" s="2" t="inlineStr">
        <is>
          <t>按栗价10美元/kg、肥料成本313.98美元/吨、人工收获计算，年施氮56、84、112、140、168 kg·hm-2的3年累积净收益分别为14,920、14,897、17,514、21,306、21,576美元/ha，从56提高到168 kg·hm-2净收益增加43%，高氮投入回报显著</t>
        </is>
      </c>
    </row>
    <row r="477">
      <c r="A477" s="2" t="n">
        <v>476</v>
      </c>
      <c r="B477" s="2" t="n">
        <v>97</v>
      </c>
      <c r="C477" s="2" t="inlineStr">
        <is>
          <t>097_2018_Nutrient Status and Fruiting Response of YoungChinese Chestnut Trees Following Application ofNit.md</t>
        </is>
      </c>
      <c r="D477" s="2" t="inlineStr">
        <is>
          <t>施氮对幼龄板栗树营养状况与结实反应的影响</t>
        </is>
      </c>
      <c r="E477" s="2" t="inlineStr">
        <is>
          <t>栽培与土壤管理</t>
        </is>
      </c>
      <c r="F477" s="2" t="inlineStr">
        <is>
          <t>土壤肥料</t>
        </is>
      </c>
      <c r="G477" s="2" t="inlineStr">
        <is>
          <t>板栗叶片矿质元素调查范围</t>
        </is>
      </c>
      <c r="H477" s="2" t="inlineStr">
        <is>
          <t>首次报道北美板栗叶片P 0.09-0.16%、K 0.36-0.63%等调查范围；对照欧洲栗（土耳其）叶N 2.81%、K 2.18%、P 0.18%、Mg 0.48%，密苏里板栗叶K仅0.5-0.6%可能缺钾（未年施钾肥，参考核桃叶K适宜值&gt;1.2%、扁桃1.4-2%）；中国河北'早峰'栗叶N、B较密苏里低而Mg、Fe、Cu高，8-30年生树需补镁保产</t>
        </is>
      </c>
    </row>
    <row r="478">
      <c r="A478" s="2" t="n">
        <v>477</v>
      </c>
      <c r="B478" s="2" t="n">
        <v>97</v>
      </c>
      <c r="C478" s="2" t="inlineStr">
        <is>
          <t>097_2018_Nutrient Status and Fruiting Response of YoungChinese Chestnut Trees Following Application ofNit.md</t>
        </is>
      </c>
      <c r="D478" s="2" t="inlineStr">
        <is>
          <t>施氮对幼龄板栗树营养状况与结实反应的影响</t>
        </is>
      </c>
      <c r="E478" s="2" t="inlineStr">
        <is>
          <t>栽培与土壤管理</t>
        </is>
      </c>
      <c r="F478" s="2" t="inlineStr">
        <is>
          <t>土壤肥料</t>
        </is>
      </c>
      <c r="G478" s="2" t="inlineStr">
        <is>
          <t>板栗氮素带走量与土壤变化</t>
        </is>
      </c>
      <c r="H478" s="2" t="inlineStr">
        <is>
          <t>按168 kg·hm-2施氮处理的2015年产量计算，坚果每年带走N 9.3、P 1.3、K 6.2 kg·hm-2；长期施硝酸铵使土壤pH由6.1降至6.0，土壤有效P下降（81→76 kg/ha）而K上升（461→510 kg/ha）；果园土壤测试对诊断营养问题作用有限，叶分析更可靠</t>
        </is>
      </c>
    </row>
    <row r="479">
      <c r="A479" s="2" t="n">
        <v>478</v>
      </c>
      <c r="B479" s="2" t="n">
        <v>98</v>
      </c>
      <c r="C479" s="2" t="inlineStr">
        <is>
          <t>098_2018_Signatures of Selection in the Genomes of Chinese Chestnut (Castanea mollissima Blume)_ The Root.md</t>
        </is>
      </c>
      <c r="D479" s="2" t="inlineStr">
        <is>
          <t>中国板栗（Castanea mollissima Blume）基因组中的选择信号：坚果树种驯化的根源</t>
        </is>
      </c>
      <c r="E479" s="2" t="inlineStr">
        <is>
          <t>基因组与基因家族</t>
        </is>
      </c>
      <c r="F479" s="2" t="inlineStr">
        <is>
          <t>基础研究</t>
        </is>
      </c>
      <c r="G479" s="2" t="inlineStr">
        <is>
          <t>板栗驯化的基因组选择信号</t>
        </is>
      </c>
      <c r="H479" s="2" t="inlineStr">
        <is>
          <t>果园板栗全基因组Tajima's D（-0.64）低于野生（-0.50），主等位基因频率更高（0.693 vs 0.685），鉴定出约25个驯化候选位点；板栗因异交和长世代，整体遗传多样性损失有限，但选择清除区（如LGA上FCA开花调控基因、LGB上LEA脱水蛋白和蔗糖合酶2）杂合度与核苷酸多样性显著低于野生</t>
        </is>
      </c>
    </row>
    <row r="480">
      <c r="A480" s="2" t="n">
        <v>479</v>
      </c>
      <c r="B480" s="2" t="n">
        <v>98</v>
      </c>
      <c r="C480" s="2" t="inlineStr">
        <is>
          <t>098_2018_Signatures of Selection in the Genomes of Chinese Chestnut (Castanea mollissima Blume)_ The Root.md</t>
        </is>
      </c>
      <c r="D480" s="2" t="inlineStr">
        <is>
          <t>中国板栗（Castanea mollissima Blume）基因组中的选择信号：坚果树种驯化的根源</t>
        </is>
      </c>
      <c r="E480" s="2" t="inlineStr">
        <is>
          <t>基因组与基因家族</t>
        </is>
      </c>
      <c r="F480" s="2" t="inlineStr">
        <is>
          <t>基础研究</t>
        </is>
      </c>
      <c r="G480" s="2" t="inlineStr">
        <is>
          <t>驯化涉及的果实与花性状基因</t>
        </is>
      </c>
      <c r="H480" s="2" t="inlineStr">
        <is>
          <t>选择清除区含FLOWERING LOCUS C（FLC，花发育主要抑制因子）、FTIP1（成花素FT输出蛋白）、POLLENLESS3/MS5（雄性育性）、AGAMOUS（花器官 identity）、乙烯合成基因ACO/ACS、花青素3-O-葡萄糖基转移酶2（与葡萄红酒色素合成基因同源，对应板栗红叶红色枝条品种）、多聚半乳糖醛酸酶（果实成熟细胞壁修饰）等</t>
        </is>
      </c>
    </row>
    <row r="481">
      <c r="A481" s="2" t="n">
        <v>480</v>
      </c>
      <c r="B481" s="2" t="n">
        <v>98</v>
      </c>
      <c r="C481" s="2" t="inlineStr">
        <is>
          <t>098_2018_Signatures of Selection in the Genomes of Chinese Chestnut (Castanea mollissima Blume)_ The Root.md</t>
        </is>
      </c>
      <c r="D481" s="2" t="inlineStr">
        <is>
          <t>中国板栗（Castanea mollissima Blume）基因组中的选择信号：坚果树种驯化的根源</t>
        </is>
      </c>
      <c r="E481" s="2" t="inlineStr">
        <is>
          <t>基因组与基因家族</t>
        </is>
      </c>
      <c r="F481" s="2" t="inlineStr">
        <is>
          <t>繁殖育种</t>
        </is>
      </c>
      <c r="G481" s="2" t="inlineStr">
        <is>
          <t>树形矮化的驯化印记</t>
        </is>
      </c>
      <c r="H481" s="2" t="inlineStr">
        <is>
          <t>板栗果园树体矮小、顶端优势弱可能是人工选择结果（野生林中可长至20-25 m）；选择清除区含芽向重力性调控基因IDD15/SGR5（调控分枝角度和淀粉含量，可能对应日本栗坚果重QTL）、玉米细胞数目调控基因同源物（影响器官大小，与番茄果重主效QTL同源）等，可能与果园型树冠结构有关</t>
        </is>
      </c>
    </row>
    <row r="482">
      <c r="A482" s="2" t="n">
        <v>481</v>
      </c>
      <c r="B482" s="2" t="n">
        <v>98</v>
      </c>
      <c r="C482" s="2" t="inlineStr">
        <is>
          <t>098_2018_Signatures of Selection in the Genomes of Chinese Chestnut (Castanea mollissima Blume)_ The Root.md</t>
        </is>
      </c>
      <c r="D482" s="2" t="inlineStr">
        <is>
          <t>中国板栗（Castanea mollissima Blume）基因组中的选择信号：坚果树种驯化的根源</t>
        </is>
      </c>
      <c r="E482" s="2" t="inlineStr">
        <is>
          <t>基因组与基因家族</t>
        </is>
      </c>
      <c r="F482" s="2" t="inlineStr">
        <is>
          <t>基础研究</t>
        </is>
      </c>
      <c r="G482" s="2" t="inlineStr">
        <is>
          <t>与其他木本作物驯化的共线性</t>
        </is>
      </c>
      <c r="H482" s="2" t="inlineStr">
        <is>
          <t>11个板栗选择清除区与桃、苹果、葡萄的驯化相关区存在共线性；如LGB上蔗糖合酶2与苹果13号染色体驯化候选基因（MDP0000859573）肽序列一致性达90.9%，表明木本果树驯化在部分位点存在趋同选择</t>
        </is>
      </c>
    </row>
    <row r="483">
      <c r="A483" s="2" t="n">
        <v>482</v>
      </c>
      <c r="B483" s="2" t="n">
        <v>98</v>
      </c>
      <c r="C483" s="2" t="inlineStr">
        <is>
          <t>098_2018_Signatures of Selection in the Genomes of Chinese Chestnut (Castanea mollissima Blume)_ The Root.md</t>
        </is>
      </c>
      <c r="D483" s="2" t="inlineStr">
        <is>
          <t>中国板栗（Castanea mollissima Blume）基因组中的选择信号：坚果树种驯化的根源</t>
        </is>
      </c>
      <c r="E483" s="2" t="inlineStr">
        <is>
          <t>基因组与基因家族</t>
        </is>
      </c>
      <c r="F483" s="2" t="inlineStr">
        <is>
          <t>繁殖育种</t>
        </is>
      </c>
      <c r="G483" s="2" t="inlineStr">
        <is>
          <t>叶绿体单倍型与遗传多样性中心</t>
        </is>
      </c>
      <c r="H483" s="2" t="inlineStr">
        <is>
          <t>叶绿体参考单倍型在云南野生样本频率100%、贵州约60%，在河北果园和美国俄亥俄引进种群中仅约10%，支持美国板栗种质主要源自中国南方；与'Clapper'共有的非参考单倍型（约260个SNP差异）在北方果园（河北约90%）占主导；陕西秦岭3个野生群体单倍型多样，证实秦岭-大巴山是板栗遗传多样性中心</t>
        </is>
      </c>
    </row>
    <row r="484">
      <c r="A484" s="2" t="n">
        <v>483</v>
      </c>
      <c r="B484" s="2" t="n">
        <v>98</v>
      </c>
      <c r="C484" s="2" t="inlineStr">
        <is>
          <t>098_2018_Signatures of Selection in the Genomes of Chinese Chestnut (Castanea mollissima Blume)_ The Root.md</t>
        </is>
      </c>
      <c r="D484" s="2" t="inlineStr">
        <is>
          <t>中国板栗（Castanea mollissima Blume）基因组中的选择信号：坚果树种驯化的根源</t>
        </is>
      </c>
      <c r="E484" s="2" t="inlineStr">
        <is>
          <t>基因组与基因家族</t>
        </is>
      </c>
      <c r="F484" s="2" t="inlineStr">
        <is>
          <t>繁殖育种</t>
        </is>
      </c>
      <c r="G484" s="2" t="inlineStr">
        <is>
          <t>南北群体分化与抗性相关基因</t>
        </is>
      </c>
      <c r="H484" s="2" t="inlineStr">
        <is>
          <t>多数等位基因固定位点在南方（云南、贵州）野生群体中更趋固定；LGE上肉桂酰CoA还原酶（木质素合成）位点可能对应中美杂交栗抗樟疫霉（Phytophthora cinnamomi）QTL区间，南方群体可能携带更多抗性等位基因；北方群体富集木质素合成与DRE1B型冷驯化相关基因</t>
        </is>
      </c>
    </row>
    <row r="485">
      <c r="A485" s="2" t="n">
        <v>484</v>
      </c>
      <c r="B485" s="2" t="n">
        <v>99</v>
      </c>
      <c r="C485" s="2" t="inlineStr">
        <is>
          <t>099_2018_深挖垦复对锥栗重要农艺性状及土壤理化性质的影响.md</t>
        </is>
      </c>
      <c r="D485" s="2" t="inlineStr">
        <is>
          <t>深挖垦复对锥栗重要农艺性状及土壤理化性质的影响</t>
        </is>
      </c>
      <c r="E485" s="2" t="inlineStr">
        <is>
          <t>栽培与土壤管理</t>
        </is>
      </c>
      <c r="F485" s="2" t="inlineStr">
        <is>
          <t>土壤肥料</t>
        </is>
      </c>
      <c r="G485" s="2" t="inlineStr">
        <is>
          <t>深挖垦复改良板结林地土壤</t>
        </is>
      </c>
      <c r="H485" s="2" t="inlineStr">
        <is>
          <t>连续4年深挖垦复（40-50 cm）使锥栗林地0-30 cm土壤容重由1.41降至0.91-0.97 g·cm-3（降低31.21%-35.46%），孔隙度由49.39%提高到63.40%-66.04%，含水率较对照（12.03%）提高76.56%-108.65%，pH由4.19升至4.39-4.61，土壤透气保水保肥能力显著增强</t>
        </is>
      </c>
    </row>
    <row r="486">
      <c r="A486" s="2" t="n">
        <v>485</v>
      </c>
      <c r="B486" s="2" t="n">
        <v>99</v>
      </c>
      <c r="C486" s="2" t="inlineStr">
        <is>
          <t>099_2018_深挖垦复对锥栗重要农艺性状及土壤理化性质的影响.md</t>
        </is>
      </c>
      <c r="D486" s="2" t="inlineStr">
        <is>
          <t>深挖垦复对锥栗重要农艺性状及土壤理化性质的影响</t>
        </is>
      </c>
      <c r="E486" s="2" t="inlineStr">
        <is>
          <t>栽培与土壤管理</t>
        </is>
      </c>
      <c r="F486" s="2" t="inlineStr">
        <is>
          <t>土壤肥料</t>
        </is>
      </c>
      <c r="G486" s="2" t="inlineStr">
        <is>
          <t>全垦与环垦效果对比</t>
        </is>
      </c>
      <c r="H486" s="2" t="inlineStr">
        <is>
          <t>环垦（树冠滴水线外宽2 m环形带深挖）第4年土壤有机质23.9 g/kg、较垦复前增加40.59%，远高于全垦的17.76%（20.2 g/kg），且有效磷（392 vs 357 mg·kg-1）、交换性镁更高；推测全垦面积大加速养分消耗；从保肥角度环垦优于全垦，但产量以全垦最高（0.21 kg/m2，为对照1.75倍；环垦0.16 kg/m2，1.33倍）</t>
        </is>
      </c>
    </row>
    <row r="487">
      <c r="A487" s="2" t="n">
        <v>486</v>
      </c>
      <c r="B487" s="2" t="n">
        <v>99</v>
      </c>
      <c r="C487" s="2" t="inlineStr">
        <is>
          <t>099_2018_深挖垦复对锥栗重要农艺性状及土壤理化性质的影响.md</t>
        </is>
      </c>
      <c r="D487" s="2" t="inlineStr">
        <is>
          <t>深挖垦复对锥栗重要农艺性状及土壤理化性质的影响</t>
        </is>
      </c>
      <c r="E487" s="2" t="inlineStr">
        <is>
          <t>栽培与土壤管理</t>
        </is>
      </c>
      <c r="F487" s="2" t="inlineStr">
        <is>
          <t>土壤肥料</t>
        </is>
      </c>
      <c r="G487" s="2" t="inlineStr">
        <is>
          <t>垦复显著增产并降低空苞率</t>
        </is>
      </c>
      <c r="H487" s="2" t="inlineStr">
        <is>
          <t>全垦和环垦使结果母枝数（139/127 vs 120个）、结果枝数（242/215 vs 183个）、结果数（498/456 vs 368个）显著增加，空苞率由对照17.00%降至13.06%和13.84%，单位面积产量分别达对照的1.75倍和1.33倍；空苞率与土壤孔隙度、水解性氮呈显著/极显著负相关</t>
        </is>
      </c>
    </row>
    <row r="488">
      <c r="A488" s="2" t="n">
        <v>487</v>
      </c>
      <c r="B488" s="2" t="n">
        <v>99</v>
      </c>
      <c r="C488" s="2" t="inlineStr">
        <is>
          <t>099_2018_深挖垦复对锥栗重要农艺性状及土壤理化性质的影响.md</t>
        </is>
      </c>
      <c r="D488" s="2" t="inlineStr">
        <is>
          <t>深挖垦复对锥栗重要农艺性状及土壤理化性质的影响</t>
        </is>
      </c>
      <c r="E488" s="2" t="inlineStr">
        <is>
          <t>栽培与土壤管理</t>
        </is>
      </c>
      <c r="F488" s="2" t="inlineStr">
        <is>
          <t>土壤肥料</t>
        </is>
      </c>
      <c r="G488" s="2" t="inlineStr">
        <is>
          <t>垦复提升果实产量品质指标</t>
        </is>
      </c>
      <c r="H488" s="2" t="inlineStr">
        <is>
          <t>垦复后单果质量达11.17-11.59 g（对照10.18 g）、栗苞总重显著增加、出籽率39.18%-39.90%（对照38.53%）、坚果淀粉含量72.08%-72.45%、可溶性糖7.41%-7.82%、磷钾含量显著高于对照；单果质量与土壤含水率呈极显著正相关、淀粉含量与水解性氮显著正相关</t>
        </is>
      </c>
    </row>
    <row r="489">
      <c r="A489" s="2" t="n">
        <v>488</v>
      </c>
      <c r="B489" s="2" t="n">
        <v>99</v>
      </c>
      <c r="C489" s="2" t="inlineStr">
        <is>
          <t>099_2018_深挖垦复对锥栗重要农艺性状及土壤理化性质的影响.md</t>
        </is>
      </c>
      <c r="D489" s="2" t="inlineStr">
        <is>
          <t>深挖垦复对锥栗重要农艺性状及土壤理化性质的影响</t>
        </is>
      </c>
      <c r="E489" s="2" t="inlineStr">
        <is>
          <t>栽培与土壤管理</t>
        </is>
      </c>
      <c r="F489" s="2" t="inlineStr">
        <is>
          <t>土壤肥料</t>
        </is>
      </c>
      <c r="G489" s="2" t="inlineStr">
        <is>
          <t>土壤-叶片-产量品质的联动机制</t>
        </is>
      </c>
      <c r="H489" s="2" t="inlineStr">
        <is>
          <t>垦复提升土壤供肥能力使锥栗叶片含水率（57.18% vs 43.63%）、比叶重（全垦85.52 g/m2）、叶绿素总量（2.12-2.17 vs 2.06 mg·L-1）、类胡萝卜素及氮磷钾钙镁含量显著增加，光合作用增强，形成土壤改良-树体营养-产量品质提升的良性循环；土壤有机质对板栗产量直接作用最大（引胡卫滨等）</t>
        </is>
      </c>
    </row>
    <row r="490">
      <c r="A490" s="2" t="n">
        <v>489</v>
      </c>
      <c r="B490" s="2" t="n">
        <v>99</v>
      </c>
      <c r="C490" s="2" t="inlineStr">
        <is>
          <t>099_2018_深挖垦复对锥栗重要农艺性状及土壤理化性质的影响.md</t>
        </is>
      </c>
      <c r="D490" s="2" t="inlineStr">
        <is>
          <t>深挖垦复对锥栗重要农艺性状及土壤理化性质的影响</t>
        </is>
      </c>
      <c r="E490" s="2" t="inlineStr">
        <is>
          <t>栽培与土壤管理</t>
        </is>
      </c>
      <c r="F490" s="2" t="inlineStr">
        <is>
          <t>产业市场</t>
        </is>
      </c>
      <c r="G490" s="2" t="inlineStr">
        <is>
          <t>我国锥栗产业现状背景</t>
        </is>
      </c>
      <c r="H490" s="2" t="inlineStr">
        <is>
          <t>我国锥栗人工栽培面积约120万亩，年产量仅7.5万t，单位面积产量不足70 kg/亩、亩产收益不足1500元，栽培管理技术落后（尤其土壤管理）是限制产量和效益的主要因素；锥栗栽培土壤板结、有机质下降甚至水土流失问题突出</t>
        </is>
      </c>
    </row>
    <row r="491">
      <c r="A491" s="2" t="n">
        <v>490</v>
      </c>
      <c r="B491" s="2" t="n">
        <v>100</v>
      </c>
      <c r="C491" s="2" t="inlineStr">
        <is>
          <t>100_2017_Identification and expression analysis of starch branching enzymes involved in starch synthesis .md</t>
        </is>
      </c>
      <c r="D491" s="2" t="inlineStr">
        <is>
          <t>板栗子叶发育过程中淀粉合成相关淀粉分支酶的鉴定与表达分析</t>
        </is>
      </c>
      <c r="E491" s="2" t="inlineStr">
        <is>
          <t>生理与分子机制</t>
        </is>
      </c>
      <c r="F491" s="2" t="inlineStr">
        <is>
          <t>营养功效</t>
        </is>
      </c>
      <c r="G491" s="2" t="inlineStr">
        <is>
          <t>板栗淀粉组成与糯性品质</t>
        </is>
      </c>
      <c r="H491" s="2" t="inlineStr">
        <is>
          <t>板栗淀粉占坚果干重46%-64%；成熟坚果（80 DAP）支链淀粉占总淀粉的76%，约为直链淀粉的3.2倍；高支链淀粉使板栗蒸炒后口感糯软（糯性），支链淀粉含量与糯性正相关（约为直链淀粉3倍时口感更糯），高支链淀粉是炒食板栗育种的重要目标</t>
        </is>
      </c>
    </row>
    <row r="492">
      <c r="A492" s="2" t="n">
        <v>491</v>
      </c>
      <c r="B492" s="2" t="n">
        <v>100</v>
      </c>
      <c r="C492" s="2" t="inlineStr">
        <is>
          <t>100_2017_Identification and expression analysis of starch branching enzymes involved in starch synthesis .md</t>
        </is>
      </c>
      <c r="D492" s="2" t="inlineStr">
        <is>
          <t>板栗子叶发育过程中淀粉合成相关淀粉分支酶的鉴定与表达分析</t>
        </is>
      </c>
      <c r="E492" s="2" t="inlineStr">
        <is>
          <t>生理与分子机制</t>
        </is>
      </c>
      <c r="F492" s="2" t="inlineStr">
        <is>
          <t>采收贮藏</t>
        </is>
      </c>
      <c r="G492" s="2" t="inlineStr">
        <is>
          <t>果实发育期淀粉积累与糊化特性变化</t>
        </is>
      </c>
      <c r="H492" s="2" t="inlineStr">
        <is>
          <t>授粉后60-80 DAP总淀粉持续积累并于80 DAP达峰；直链淀粉约占鲜重5%且全程稳定，总淀粉增加主要来自支链淀粉合成；糊化温度由60 DAP的72.63℃下降约4℃，发育后期淀粉更易糊化；&gt;30 μm2大淀粉粒比例由12%增至42%，淀粉粒为表面光滑的不规则球形或椭圆形</t>
        </is>
      </c>
    </row>
    <row r="493">
      <c r="A493" s="2" t="n">
        <v>492</v>
      </c>
      <c r="B493" s="2" t="n">
        <v>100</v>
      </c>
      <c r="C493" s="2" t="inlineStr">
        <is>
          <t>100_2017_Identification and expression analysis of starch branching enzymes involved in starch synthesis .md</t>
        </is>
      </c>
      <c r="D493" s="2" t="inlineStr">
        <is>
          <t>板栗子叶发育过程中淀粉合成相关淀粉分支酶的鉴定与表达分析</t>
        </is>
      </c>
      <c r="E493" s="2" t="inlineStr">
        <is>
          <t>生理与分子机制</t>
        </is>
      </c>
      <c r="F493" s="2" t="inlineStr">
        <is>
          <t>基础研究</t>
        </is>
      </c>
      <c r="G493" s="2" t="inlineStr">
        <is>
          <t>板栗SBE基因的首次鉴定</t>
        </is>
      </c>
      <c r="H493" s="2" t="inlineStr">
        <is>
          <t>首次从板栗子叶鉴定2种淀粉分支酶同工型：CmSBE I（ORF 2460 bp、820 aa、92.91 kDa，GenBank KY429029）和CmSBE II（ORF 2595 bp、865 aa、98.50 kDa，KY429028），均含E_set_GBE_euk_N、AmyAc_bac_euk_BE（α-淀粉酶催化域）和Alpha-amylase_C三个保守结构域，经native-PAGE酶谱和LC-MS/MS（肽覆盖12%和15%）验证</t>
        </is>
      </c>
    </row>
    <row r="494">
      <c r="A494" s="2" t="n">
        <v>493</v>
      </c>
      <c r="B494" s="2" t="n">
        <v>100</v>
      </c>
      <c r="C494" s="2" t="inlineStr">
        <is>
          <t>100_2017_Identification and expression analysis of starch branching enzymes involved in starch synthesis .md</t>
        </is>
      </c>
      <c r="D494" s="2" t="inlineStr">
        <is>
          <t>板栗子叶发育过程中淀粉合成相关淀粉分支酶的鉴定与表达分析</t>
        </is>
      </c>
      <c r="E494" s="2" t="inlineStr">
        <is>
          <t>生理与分子机制</t>
        </is>
      </c>
      <c r="F494" s="2" t="inlineStr">
        <is>
          <t>基础研究</t>
        </is>
      </c>
      <c r="G494" s="2" t="inlineStr">
        <is>
          <t>CmSBE时空表达与酶活性动态</t>
        </is>
      </c>
      <c r="H494" s="2" t="inlineStr">
        <is>
          <t>CmSBE I/II在子叶中表达量最高，比芽分别高19.9倍和38.4倍（芽中最低）；两基因表达自64 DAP起升高，CmSBE I于77 DAP、CmSBE II于74 DAP达峰，SBE酶活性在74 DAP最高，蛋白积累约77 DAP起明显增加，与支链淀粉快速积累同步，表明CmSBE主导板栗支链淀粉合成</t>
        </is>
      </c>
    </row>
    <row r="495">
      <c r="A495" s="2" t="n">
        <v>494</v>
      </c>
      <c r="B495" s="2" t="n">
        <v>100</v>
      </c>
      <c r="C495" s="2" t="inlineStr">
        <is>
          <t>100_2017_Identification and expression analysis of starch branching enzymes involved in starch synthesis .md</t>
        </is>
      </c>
      <c r="D495" s="2" t="inlineStr">
        <is>
          <t>板栗子叶发育过程中淀粉合成相关淀粉分支酶的鉴定与表达分析</t>
        </is>
      </c>
      <c r="E495" s="2" t="inlineStr">
        <is>
          <t>生理与分子机制</t>
        </is>
      </c>
      <c r="F495" s="2" t="inlineStr">
        <is>
          <t>繁殖育种</t>
        </is>
      </c>
      <c r="G495" s="2" t="inlineStr">
        <is>
          <t>对糯性育种和加工的启示</t>
        </is>
      </c>
      <c r="H495" s="2" t="inlineStr">
        <is>
          <t>抑制谷物SBE可使直链淀粉大幅上升（小麦SBE IIa/IIb沉默后直链淀粉从25.5%升至&gt;70%），提示调控SBE可改变板栗支链/直链比例；板栗为双子叶植物、淀粉储于子叶而非单子叶胚乳，其淀粉合成机制可能与玉米、水稻不同；SBE表达量与活性可作为糯性种质评价和辅助选择的指标</t>
        </is>
      </c>
    </row>
    <row r="496">
      <c r="A496" s="2" t="n">
        <v>495</v>
      </c>
      <c r="B496" s="2" t="n">
        <v>101</v>
      </c>
      <c r="C496" s="2" t="inlineStr">
        <is>
          <t>不同品种板栗的营养价值和品质分析_王向红.md</t>
        </is>
      </c>
      <c r="D496" s="2" t="inlineStr">
        <is>
          <t>不同品种板栗的营养价值和品质分析</t>
        </is>
      </c>
      <c r="E496" s="2" t="inlineStr">
        <is>
          <t>果实品质与营养</t>
        </is>
      </c>
      <c r="F496" s="2" t="inlineStr">
        <is>
          <t>营养功效</t>
        </is>
      </c>
      <c r="G496" s="2" t="inlineStr">
        <is>
          <t>板栗基础营养构成</t>
        </is>
      </c>
      <c r="H496" s="2" t="inlineStr">
        <is>
          <t>板栗含水量约49%~54%，干物质以淀粉为主（约占干物质40%），另含蛋白质4%~6%、脂肪0.4%~0.7%、果胶、纤维素及较丰富的Cu、Fe、Zn、Ca、Mg等矿质元素，是典型的低脂高淀粉坚果</t>
        </is>
      </c>
    </row>
    <row r="497">
      <c r="A497" s="2" t="n">
        <v>496</v>
      </c>
      <c r="B497" s="2" t="n">
        <v>101</v>
      </c>
      <c r="C497" s="2" t="inlineStr">
        <is>
          <t>不同品种板栗的营养价值和品质分析_王向红.md</t>
        </is>
      </c>
      <c r="D497" s="2" t="inlineStr">
        <is>
          <t>不同品种板栗的营养价值和品质分析</t>
        </is>
      </c>
      <c r="E497" s="2" t="inlineStr">
        <is>
          <t>果实品质与营养</t>
        </is>
      </c>
      <c r="F497" s="2" t="inlineStr">
        <is>
          <t>品种选择</t>
        </is>
      </c>
      <c r="G497" s="2" t="inlineStr">
        <is>
          <t>品种间营养与甜糯品质差异</t>
        </is>
      </c>
      <c r="H497" s="2" t="inlineStr">
        <is>
          <t>唐山4品种中燕红的蛋白质（5.53%）、淀粉（19.22%）、总糖（13.40%）含量最高且果胶含量低（0.70%），甜糯品质最佳；燕山早丰总糖13.20%、淀粉18.17%也较高；大叶青各成分含量相对较低</t>
        </is>
      </c>
    </row>
    <row r="498">
      <c r="A498" s="2" t="n">
        <v>497</v>
      </c>
      <c r="B498" s="2" t="n">
        <v>101</v>
      </c>
      <c r="C498" s="2" t="inlineStr">
        <is>
          <t>不同品种板栗的营养价值和品质分析_王向红.md</t>
        </is>
      </c>
      <c r="D498" s="2" t="inlineStr">
        <is>
          <t>不同品种板栗的营养价值和品质分析</t>
        </is>
      </c>
      <c r="E498" s="2" t="inlineStr">
        <is>
          <t>果实品质与营养</t>
        </is>
      </c>
      <c r="F498" s="2" t="inlineStr">
        <is>
          <t>营养功效</t>
        </is>
      </c>
      <c r="G498" s="2" t="inlineStr">
        <is>
          <t>矿质元素含量与产地土壤</t>
        </is>
      </c>
      <c r="H498" s="2" t="inlineStr">
        <is>
          <t>4品种Zn含量46.31~58.13 mg/100g干重、Fe 12.52~16.09、Mg 15.92~28.13，Fe、Zn、Mg含量较高与唐山迁西当地土壤特性密切相关，矿质元素含量可作为产地品质特征</t>
        </is>
      </c>
    </row>
    <row r="499">
      <c r="A499" s="2" t="n">
        <v>498</v>
      </c>
      <c r="B499" s="2" t="n">
        <v>101</v>
      </c>
      <c r="C499" s="2" t="inlineStr">
        <is>
          <t>不同品种板栗的营养价值和品质分析_王向红.md</t>
        </is>
      </c>
      <c r="D499" s="2" t="inlineStr">
        <is>
          <t>不同品种板栗的营养价值和品质分析</t>
        </is>
      </c>
      <c r="E499" s="2" t="inlineStr">
        <is>
          <t>果实品质与营养</t>
        </is>
      </c>
      <c r="F499" s="2" t="inlineStr">
        <is>
          <t>加工利用</t>
        </is>
      </c>
      <c r="G499" s="2" t="inlineStr">
        <is>
          <t>囊衣单宁与剥皮难易</t>
        </is>
      </c>
      <c r="H499" s="2" t="inlineStr">
        <is>
          <t>板栗囊衣单宁含量煮熟后大幅下降33%以上，燕红由9191.52降至4468.48 mg/100g（下降51.38%）；单宁含量影响煮熟后囊衣是否易剥落，易剥顺序为燕红&gt;燕山早丰&gt;燕山魁栗&gt;大叶青，煮熟是改善剥皮性的有效手段</t>
        </is>
      </c>
    </row>
    <row r="500">
      <c r="A500" s="2" t="n">
        <v>499</v>
      </c>
      <c r="B500" s="2" t="n">
        <v>101</v>
      </c>
      <c r="C500" s="2" t="inlineStr">
        <is>
          <t>不同品种板栗的营养价值和品质分析_王向红.md</t>
        </is>
      </c>
      <c r="D500" s="2" t="inlineStr">
        <is>
          <t>不同品种板栗的营养价值和品质分析</t>
        </is>
      </c>
      <c r="E500" s="2" t="inlineStr">
        <is>
          <t>果实品质与营养</t>
        </is>
      </c>
      <c r="F500" s="2" t="inlineStr">
        <is>
          <t>加工利用</t>
        </is>
      </c>
      <c r="G500" s="2" t="inlineStr">
        <is>
          <t>果胶与纤维素的品种差异</t>
        </is>
      </c>
      <c r="H500" s="2" t="inlineStr">
        <is>
          <t>燕山魁栗果胶含量最高（4.37%），燕山早丰次之（2.29%），燕红最低（0.70%）；粗纤维以燕山早丰最多（2.40%）、燕山魁栗最少（0.25%），果胶和纤维素差异可作为加工用途选择的参考</t>
        </is>
      </c>
    </row>
    <row r="501">
      <c r="A501" s="2" t="n">
        <v>500</v>
      </c>
      <c r="B501" s="2" t="n">
        <v>102</v>
      </c>
      <c r="C501" s="2" t="inlineStr">
        <is>
          <t>中国板栗238份品种(系)叶片形态、解剖结构及其抗旱性评价_郭燕.md</t>
        </is>
      </c>
      <c r="D501" s="2" t="inlineStr">
        <is>
          <t>中国板栗238份品种（系）叶片形态、解剖结构及其抗旱性评价</t>
        </is>
      </c>
      <c r="E501" s="2" t="inlineStr">
        <is>
          <t>育种与遗传资源</t>
        </is>
      </c>
      <c r="F501" s="2" t="inlineStr">
        <is>
          <t>基础研究</t>
        </is>
      </c>
      <c r="G501" s="2" t="inlineStr">
        <is>
          <t>板栗抗旱性评价体系</t>
        </is>
      </c>
      <c r="H501" s="2" t="inlineStr">
        <is>
          <t>通过变异系数+主成分分析从33项叶片指标中筛选出叶片厚度、叶片厚度/叶面积、叶绿素参考值、栅栏组织厚度、气孔密度、单位面积气孔总周长、叶柄长/宽、叶片长/宽、叶片宽、上表皮厚度10项典型指标，结合隶属函数法可对板栗品种抗旱性进行分级评价，大幅减少评价工作量</t>
        </is>
      </c>
    </row>
    <row r="502">
      <c r="A502" s="2" t="n">
        <v>501</v>
      </c>
      <c r="B502" s="2" t="n">
        <v>102</v>
      </c>
      <c r="C502" s="2" t="inlineStr">
        <is>
          <t>中国板栗238份品种(系)叶片形态、解剖结构及其抗旱性评价_郭燕.md</t>
        </is>
      </c>
      <c r="D502" s="2" t="inlineStr">
        <is>
          <t>中国板栗238份品种（系）叶片形态、解剖结构及其抗旱性评价</t>
        </is>
      </c>
      <c r="E502" s="2" t="inlineStr">
        <is>
          <t>育种与遗传资源</t>
        </is>
      </c>
      <c r="F502" s="2" t="inlineStr">
        <is>
          <t>栽培管理</t>
        </is>
      </c>
      <c r="G502" s="2" t="inlineStr">
        <is>
          <t>抗旱性强的叶片形态标志</t>
        </is>
      </c>
      <c r="H502" s="2" t="inlineStr">
        <is>
          <t>抗旱性强的板栗品种表现为叶片窄长（叶片长/宽、叶柄长/宽比值大）、叶片宽小、叶片厚、栅栏组织厚、气孔密度大、单位面积气孔总周长大、叶绿素参考值高（叶色深绿）；10项典型指标中仅叶片宽与抗旱性负相关，其余9项均正相关</t>
        </is>
      </c>
    </row>
    <row r="503">
      <c r="A503" s="2" t="n">
        <v>502</v>
      </c>
      <c r="B503" s="2" t="n">
        <v>102</v>
      </c>
      <c r="C503" s="2" t="inlineStr">
        <is>
          <t>中国板栗238份品种(系)叶片形态、解剖结构及其抗旱性评价_郭燕.md</t>
        </is>
      </c>
      <c r="D503" s="2" t="inlineStr">
        <is>
          <t>中国板栗238份品种（系）叶片形态、解剖结构及其抗旱性评价</t>
        </is>
      </c>
      <c r="E503" s="2" t="inlineStr">
        <is>
          <t>育种与遗传资源</t>
        </is>
      </c>
      <c r="F503" s="2" t="inlineStr">
        <is>
          <t>品种选择</t>
        </is>
      </c>
      <c r="G503" s="2" t="inlineStr">
        <is>
          <t>具体品种抗旱性等级</t>
        </is>
      </c>
      <c r="H503" s="2" t="inlineStr">
        <is>
          <t>238份品种（系）中31份抗旱性极强（平均隶属值0.60~0.80）、48份强、84份中、75份弱；燕龙、大板红、燕奎抗旱性强，燕山早丰、紫珀中等，燕红较弱，干旱山区建园宜选抗旱性强类品种</t>
        </is>
      </c>
    </row>
    <row r="504">
      <c r="A504" s="2" t="n">
        <v>503</v>
      </c>
      <c r="B504" s="2" t="n">
        <v>102</v>
      </c>
      <c r="C504" s="2" t="inlineStr">
        <is>
          <t>中国板栗238份品种(系)叶片形态、解剖结构及其抗旱性评价_郭燕.md</t>
        </is>
      </c>
      <c r="D504" s="2" t="inlineStr">
        <is>
          <t>中国板栗238份品种（系）叶片形态、解剖结构及其抗旱性评价</t>
        </is>
      </c>
      <c r="E504" s="2" t="inlineStr">
        <is>
          <t>育种与遗传资源</t>
        </is>
      </c>
      <c r="F504" s="2" t="inlineStr">
        <is>
          <t>基础研究</t>
        </is>
      </c>
      <c r="G504" s="2" t="inlineStr">
        <is>
          <t>板栗叶片气孔与角质层特征</t>
        </is>
      </c>
      <c r="H504" s="2" t="inlineStr">
        <is>
          <t>板栗气孔仅分布于叶片下表皮，椭圆形、由2个肾形保卫细胞构成，平均气孔密度933.56个/mm²、气孔长22.72 μm；上表皮角质层平均厚5.82 μm，厚于苹果（3.25 μm）和文冠果（5.13 μm），推断板栗整体抗旱性强于苹果和文冠果</t>
        </is>
      </c>
    </row>
    <row r="505">
      <c r="A505" s="2" t="n">
        <v>504</v>
      </c>
      <c r="B505" s="2" t="n">
        <v>102</v>
      </c>
      <c r="C505" s="2" t="inlineStr">
        <is>
          <t>中国板栗238份品种(系)叶片形态、解剖结构及其抗旱性评价_郭燕.md</t>
        </is>
      </c>
      <c r="D505" s="2" t="inlineStr">
        <is>
          <t>中国板栗238份品种（系）叶片形态、解剖结构及其抗旱性评价</t>
        </is>
      </c>
      <c r="E505" s="2" t="inlineStr">
        <is>
          <t>育种与遗传资源</t>
        </is>
      </c>
      <c r="F505" s="2" t="inlineStr">
        <is>
          <t>基础研究</t>
        </is>
      </c>
      <c r="G505" s="2" t="inlineStr">
        <is>
          <t>叶片结构作为抗旱指标的稳定性</t>
        </is>
      </c>
      <c r="H505" s="2" t="inlineStr">
        <is>
          <t>叶片形态及解剖结构是植物长期适应演化的结果，不会随环境因子暂时改变而大变，比生理生化指标更适合品种间抗旱性比较；但板栗抗旱性为多基因数量性状，客观评价还需结合生理生化指标综合考虑</t>
        </is>
      </c>
    </row>
    <row r="506">
      <c r="A506" s="2" t="n">
        <v>505</v>
      </c>
      <c r="B506" s="2" t="n">
        <v>103</v>
      </c>
      <c r="C506" s="2" t="inlineStr">
        <is>
          <t>中国板栗地方品种重要农艺性状的表型多样性_江锡兵.md</t>
        </is>
      </c>
      <c r="D506" s="2" t="inlineStr">
        <is>
          <t>中国板栗地方品种重要农艺性状的表型多样性</t>
        </is>
      </c>
      <c r="E506" s="2" t="inlineStr">
        <is>
          <t>育种与遗传资源</t>
        </is>
      </c>
      <c r="F506" s="2" t="inlineStr">
        <is>
          <t>品种选择</t>
        </is>
      </c>
      <c r="G506" s="2" t="inlineStr">
        <is>
          <t>南北方品种果型差异</t>
        </is>
      </c>
      <c r="H506" s="2" t="inlineStr">
        <is>
          <t>南方群体坚果显著大于北方：浙江群体坚果长30.87 mm、宽34.10 mm、单果质量12.85 g，安徽、浙江属大果型品种群；北京、河北、山东、陕西群体坚果小，属小果型品种群；叶片从南到北大致由长椭圆形向椭圆形变化</t>
        </is>
      </c>
    </row>
    <row r="507">
      <c r="A507" s="2" t="n">
        <v>506</v>
      </c>
      <c r="B507" s="2" t="n">
        <v>103</v>
      </c>
      <c r="C507" s="2" t="inlineStr">
        <is>
          <t>中国板栗地方品种重要农艺性状的表型多样性_江锡兵.md</t>
        </is>
      </c>
      <c r="D507" s="2" t="inlineStr">
        <is>
          <t>中国板栗地方品种重要农艺性状的表型多样性</t>
        </is>
      </c>
      <c r="E507" s="2" t="inlineStr">
        <is>
          <t>育种与遗传资源</t>
        </is>
      </c>
      <c r="F507" s="2" t="inlineStr">
        <is>
          <t>品种选择</t>
        </is>
      </c>
      <c r="G507" s="2" t="inlineStr">
        <is>
          <t>北方板栗品质更优</t>
        </is>
      </c>
      <c r="H507" s="2" t="inlineStr">
        <is>
          <t>北京、陕西群体淀粉（27.21%、29.58%）、可溶性糖、总蛋白及钙（985.1、901.1 mg/kg）含量为最高或较高，品质最好；河南群体淀粉最低（20.14%），湖南群体可溶性糖及总蛋白最低，浙江群体钙最低；北方板栗品质明显优于南方</t>
        </is>
      </c>
    </row>
    <row r="508">
      <c r="A508" s="2" t="n">
        <v>507</v>
      </c>
      <c r="B508" s="2" t="n">
        <v>103</v>
      </c>
      <c r="C508" s="2" t="inlineStr">
        <is>
          <t>中国板栗地方品种重要农艺性状的表型多样性_江锡兵.md</t>
        </is>
      </c>
      <c r="D508" s="2" t="inlineStr">
        <is>
          <t>中国板栗地方品种重要农艺性状的表型多样性</t>
        </is>
      </c>
      <c r="E508" s="2" t="inlineStr">
        <is>
          <t>育种与遗传资源</t>
        </is>
      </c>
      <c r="F508" s="2" t="inlineStr">
        <is>
          <t>繁殖育种</t>
        </is>
      </c>
      <c r="G508" s="2" t="inlineStr">
        <is>
          <t>变异来源与选种潜力</t>
        </is>
      </c>
      <c r="H508" s="2" t="inlineStr">
        <is>
          <t>12个农艺性状群体内和群体间差异均极显著；表型分化系数平均23.42%，群体内变异占76.58%，说明板栗叶片、坚果性状变异主要来自群体内，在地方品种内开展单株选种潜力大</t>
        </is>
      </c>
    </row>
    <row r="509">
      <c r="A509" s="2" t="n">
        <v>508</v>
      </c>
      <c r="B509" s="2" t="n">
        <v>103</v>
      </c>
      <c r="C509" s="2" t="inlineStr">
        <is>
          <t>中国板栗地方品种重要农艺性状的表型多样性_江锡兵.md</t>
        </is>
      </c>
      <c r="D509" s="2" t="inlineStr">
        <is>
          <t>中国板栗地方品种重要农艺性状的表型多样性</t>
        </is>
      </c>
      <c r="E509" s="2" t="inlineStr">
        <is>
          <t>育种与遗传资源</t>
        </is>
      </c>
      <c r="F509" s="2" t="inlineStr">
        <is>
          <t>繁殖育种</t>
        </is>
      </c>
      <c r="G509" s="2" t="inlineStr">
        <is>
          <t>性状遗传稳定性排序</t>
        </is>
      </c>
      <c r="H509" s="2" t="inlineStr">
        <is>
          <t>坚果表型性状平均变异系数4.4%，低于坚果品质性状（6.8%）和叶片表型性状（7.7%）；其中果形指数和坚果长度变异系数仅2.8%，遗传稳定性最高，可作为品种鉴定和遗传分类的稳定依据；叶柄长度变异系数13.7%最大，遗传潜力大</t>
        </is>
      </c>
    </row>
    <row r="510">
      <c r="A510" s="2" t="n">
        <v>509</v>
      </c>
      <c r="B510" s="2" t="n">
        <v>103</v>
      </c>
      <c r="C510" s="2" t="inlineStr">
        <is>
          <t>中国板栗地方品种重要农艺性状的表型多样性_江锡兵.md</t>
        </is>
      </c>
      <c r="D510" s="2" t="inlineStr">
        <is>
          <t>中国板栗地方品种重要农艺性状的表型多样性</t>
        </is>
      </c>
      <c r="E510" s="2" t="inlineStr">
        <is>
          <t>育种与遗传资源</t>
        </is>
      </c>
      <c r="F510" s="2" t="inlineStr">
        <is>
          <t>繁殖育种</t>
        </is>
      </c>
      <c r="G510" s="2" t="inlineStr">
        <is>
          <t>板栗表型多样性中心</t>
        </is>
      </c>
      <c r="H510" s="2" t="inlineStr">
        <is>
          <t>陕西（8.1%）、河北（7.2%）、浙江（7.1%）群体农艺性状平均变异系数最大，且板栗生产量大、品种资源丰富、多为实生选种材料，可能是中国板栗表型多样性中心，应作为种质保存和选种重点区域</t>
        </is>
      </c>
    </row>
    <row r="511">
      <c r="A511" s="2" t="n">
        <v>510</v>
      </c>
      <c r="B511" s="2" t="n">
        <v>103</v>
      </c>
      <c r="C511" s="2" t="inlineStr">
        <is>
          <t>中国板栗地方品种重要农艺性状的表型多样性_江锡兵.md</t>
        </is>
      </c>
      <c r="D511" s="2" t="inlineStr">
        <is>
          <t>中国板栗地方品种重要农艺性状的表型多样性</t>
        </is>
      </c>
      <c r="E511" s="2" t="inlineStr">
        <is>
          <t>育种与遗传资源</t>
        </is>
      </c>
      <c r="F511" s="2" t="inlineStr">
        <is>
          <t>品种选择</t>
        </is>
      </c>
      <c r="G511" s="2" t="inlineStr">
        <is>
          <t>高淀粉与大果地方品种</t>
        </is>
      </c>
      <c r="H511" s="2" t="inlineStr">
        <is>
          <t>90个品种中灰拣淀粉含量40.59%、迁安37.06%、八月红36.27%、燕红30.92%较高；单果质量以大公书4号（19.22 g）、中明栗（19.11 g）、短枝板红（18.20 g）、上光（17.77 g）较大，小果短枝仅1.90 g</t>
        </is>
      </c>
    </row>
    <row r="512">
      <c r="A512" s="2" t="n">
        <v>511</v>
      </c>
      <c r="B512" s="2" t="n">
        <v>104</v>
      </c>
      <c r="C512" s="2" t="inlineStr">
        <is>
          <t>基于主成分及聚类分析的板栗品质综合评价_于艳奇.md</t>
        </is>
      </c>
      <c r="D512" s="2" t="inlineStr">
        <is>
          <t>基于主成分及聚类分析的板栗品质综合评价</t>
        </is>
      </c>
      <c r="E512" s="2" t="inlineStr">
        <is>
          <t>果实品质与营养</t>
        </is>
      </c>
      <c r="F512" s="2" t="inlineStr">
        <is>
          <t>品种选择</t>
        </is>
      </c>
      <c r="G512" s="2" t="inlineStr">
        <is>
          <t>25个品种综合品质排名</t>
        </is>
      </c>
      <c r="H512" s="2" t="inlineStr">
        <is>
          <t>灰色关联度分析（8项核心指标+熵权法权重）表明丹栗1号（关联度0.773）、丹东9113（0.730）、qX-005（0.717）综合品质列25个品种前三位，可作为优质原料或选育首选</t>
        </is>
      </c>
    </row>
    <row r="513">
      <c r="A513" s="2" t="n">
        <v>512</v>
      </c>
      <c r="B513" s="2" t="n">
        <v>104</v>
      </c>
      <c r="C513" s="2" t="inlineStr">
        <is>
          <t>基于主成分及聚类分析的板栗品质综合评价_于艳奇.md</t>
        </is>
      </c>
      <c r="D513" s="2" t="inlineStr">
        <is>
          <t>基于主成分及聚类分析的板栗品质综合评价</t>
        </is>
      </c>
      <c r="E513" s="2" t="inlineStr">
        <is>
          <t>果实品质与营养</t>
        </is>
      </c>
      <c r="F513" s="2" t="inlineStr">
        <is>
          <t>加工利用</t>
        </is>
      </c>
      <c r="G513" s="2" t="inlineStr">
        <is>
          <t>按产地的加工适宜性分类</t>
        </is>
      </c>
      <c r="H513" s="2" t="inlineStr">
        <is>
          <t>聚类将25个品种分4类：丹东类（当地、金华、9113、利平、丹栗1号）单果重、水分、总酚、总黄酮、可溶性糖高，宜开发功能性饮品；第二类（qX-004、H7-3、燕兴、Q-XS、昌黎105、qX-005）出仁率、直链淀粉高，宜取仁做罐头、果脯或板栗粉烘焙；第三类（6个昌黎品种）糯性强，是优质食品原料；第四类（8个迁西品种）果小圆润、可溶性固形物高、硬度大、易贮藏，宜炒食和直售坚果</t>
        </is>
      </c>
    </row>
    <row r="514">
      <c r="A514" s="2" t="n">
        <v>513</v>
      </c>
      <c r="B514" s="2" t="n">
        <v>104</v>
      </c>
      <c r="C514" s="2" t="inlineStr">
        <is>
          <t>基于主成分及聚类分析的板栗品质综合评价_于艳奇.md</t>
        </is>
      </c>
      <c r="D514" s="2" t="inlineStr">
        <is>
          <t>基于主成分及聚类分析的板栗品质综合评价</t>
        </is>
      </c>
      <c r="E514" s="2" t="inlineStr">
        <is>
          <t>果实品质与营养</t>
        </is>
      </c>
      <c r="F514" s="2" t="inlineStr">
        <is>
          <t>基础研究</t>
        </is>
      </c>
      <c r="G514" s="2" t="inlineStr">
        <is>
          <t>品质核心评价指标与权重</t>
        </is>
      </c>
      <c r="H514" s="2" t="inlineStr">
        <is>
          <t>首次将主成分分析、熵权法与灰色关联度分析结合用于板栗品质评价，筛选出水分、AA、总黄酮、好果率、果形指数、硬度、可溶性糖、还原糖8项核心指标，权重分别为14.08%、14.64%、15.64%、7.74%、9.41%、9.11%、18.90%、10.48%，其中可溶性糖权重最高，用少量指标即可代表21项指标83.42%的信息</t>
        </is>
      </c>
    </row>
    <row r="515">
      <c r="A515" s="2" t="n">
        <v>514</v>
      </c>
      <c r="B515" s="2" t="n">
        <v>104</v>
      </c>
      <c r="C515" s="2" t="inlineStr">
        <is>
          <t>基于主成分及聚类分析的板栗品质综合评价_于艳奇.md</t>
        </is>
      </c>
      <c r="D515" s="2" t="inlineStr">
        <is>
          <t>基于主成分及聚类分析的板栗品质综合评价</t>
        </is>
      </c>
      <c r="E515" s="2" t="inlineStr">
        <is>
          <t>果实品质与营养</t>
        </is>
      </c>
      <c r="F515" s="2" t="inlineStr">
        <is>
          <t>加工利用</t>
        </is>
      </c>
      <c r="G515" s="2" t="inlineStr">
        <is>
          <t>糯性与直链/支链淀粉比</t>
        </is>
      </c>
      <c r="H515" s="2" t="inlineStr">
        <is>
          <t>板栗淀粉平均76.03%（干重，68.78%~85.25%），直链淀粉平均36.81%、支链淀粉39.22%；直链/支链淀粉比值（AA）越小糯性越强，品种间AA为64.43~132.05；9113淀粉85.25%、支链淀粉48.66%最高，糯性强；昌黎105淀粉最低（68.78%）且支链低于直链</t>
        </is>
      </c>
    </row>
    <row r="516">
      <c r="A516" s="2" t="n">
        <v>515</v>
      </c>
      <c r="B516" s="2" t="n">
        <v>104</v>
      </c>
      <c r="C516" s="2" t="inlineStr">
        <is>
          <t>基于主成分及聚类分析的板栗品质综合评价_于艳奇.md</t>
        </is>
      </c>
      <c r="D516" s="2" t="inlineStr">
        <is>
          <t>基于主成分及聚类分析的板栗品质综合评价</t>
        </is>
      </c>
      <c r="E516" s="2" t="inlineStr">
        <is>
          <t>果实品质与营养</t>
        </is>
      </c>
      <c r="F516" s="2" t="inlineStr">
        <is>
          <t>营养功效</t>
        </is>
      </c>
      <c r="G516" s="2" t="inlineStr">
        <is>
          <t>甜度与活性成分的品种差异</t>
        </is>
      </c>
      <c r="H516" s="2" t="inlineStr">
        <is>
          <t>可溶性糖12.80%~39.89%、可溶性固形物13.53~38.80°Brix，均以qX-001最高、口感最甜；总酚0.52~1.19 mg/g、总黄酮0.76~1.95 mg/g均以燕兴最高、C-23最低；脂肪0.20%~13.70%，辽宁丹东品种脂肪（0.20%~2.72%）显著低于河北品种，燕晶脂肪12.94%、C-23达13.70%</t>
        </is>
      </c>
    </row>
    <row r="517">
      <c r="A517" s="2" t="n">
        <v>516</v>
      </c>
      <c r="B517" s="2" t="n">
        <v>104</v>
      </c>
      <c r="C517" s="2" t="inlineStr">
        <is>
          <t>基于主成分及聚类分析的板栗品质综合评价_于艳奇.md</t>
        </is>
      </c>
      <c r="D517" s="2" t="inlineStr">
        <is>
          <t>基于主成分及聚类分析的板栗品质综合评价</t>
        </is>
      </c>
      <c r="E517" s="2" t="inlineStr">
        <is>
          <t>果实品质与营养</t>
        </is>
      </c>
      <c r="F517" s="2" t="inlineStr">
        <is>
          <t>品种选择</t>
        </is>
      </c>
      <c r="G517" s="2" t="inlineStr">
        <is>
          <t>硬度与单果重与用途匹配</t>
        </is>
      </c>
      <c r="H517" s="2" t="inlineStr">
        <is>
          <t>生栗仁硬度18.28~27.23 N（平均23.01 N），燕兴硬度最大（27.23 N）且有报告适合炒食，金华硬度最小（18.28 N）体型大质地软；单果重4.52~23.63 g，金华（23.63 g）、9113、利平、丹栗1号较大利于加工，qX-005、qD-006等迁西小果品种适合炒食直售</t>
        </is>
      </c>
    </row>
    <row r="518">
      <c r="A518" s="2" t="n">
        <v>517</v>
      </c>
      <c r="B518" s="2" t="n">
        <v>105</v>
      </c>
      <c r="C518" s="2" t="inlineStr">
        <is>
          <t>密植板栗树光合特性的研究_彭方仁.md</t>
        </is>
      </c>
      <c r="D518" s="2" t="inlineStr">
        <is>
          <t>密植板栗树光合特性的研究</t>
        </is>
      </c>
      <c r="E518" s="2" t="inlineStr">
        <is>
          <t>生理与分子机制</t>
        </is>
      </c>
      <c r="F518" s="2" t="inlineStr">
        <is>
          <t>栽培管理</t>
        </is>
      </c>
      <c r="G518" s="2" t="inlineStr">
        <is>
          <t>九家种的光合参数</t>
        </is>
      </c>
      <c r="H518" s="2" t="inlineStr">
        <is>
          <t>密植'九家种'板栗叶片光补偿点为40~50 μmol·s⁻¹·m⁻²、光饱和点为800~900 μmol·s⁻¹·m⁻²，PAR超过800~900后光合速率不再显著增加，果园光照管理应尽量使叶片接受接近光饱和点的光照</t>
        </is>
      </c>
    </row>
    <row r="519">
      <c r="A519" s="2" t="n">
        <v>518</v>
      </c>
      <c r="B519" s="2" t="n">
        <v>105</v>
      </c>
      <c r="C519" s="2" t="inlineStr">
        <is>
          <t>密植板栗树光合特性的研究_彭方仁.md</t>
        </is>
      </c>
      <c r="D519" s="2" t="inlineStr">
        <is>
          <t>密植板栗树光合特性的研究</t>
        </is>
      </c>
      <c r="E519" s="2" t="inlineStr">
        <is>
          <t>生理与分子机制</t>
        </is>
      </c>
      <c r="F519" s="2" t="inlineStr">
        <is>
          <t>栽培管理</t>
        </is>
      </c>
      <c r="G519" s="2" t="inlineStr">
        <is>
          <t>光合日变化与夏季午休</t>
        </is>
      </c>
      <c r="H519" s="2" t="inlineStr">
        <is>
          <t>生长初期（5月）和末期（10月）净光合速率日变化为单峰曲线（高峰11:00~12:00）；生长盛期（6~8月）晴天为双峰曲线，峰值分别出现在上午8:00~10:00（最大1048 mg·dm⁻²·h⁻¹）和下午15:00~16:00，中午11:00~15:00出现'午休'低谷（194~312 mg·dm⁻²·h⁻¹），夏季及时灌溉降低叶温、减少土壤水分胁迫可防止光合效能下降</t>
        </is>
      </c>
    </row>
    <row r="520">
      <c r="A520" s="2" t="n">
        <v>519</v>
      </c>
      <c r="B520" s="2" t="n">
        <v>105</v>
      </c>
      <c r="C520" s="2" t="inlineStr">
        <is>
          <t>密植板栗树光合特性的研究_彭方仁.md</t>
        </is>
      </c>
      <c r="D520" s="2" t="inlineStr">
        <is>
          <t>密植板栗树光合特性的研究</t>
        </is>
      </c>
      <c r="E520" s="2" t="inlineStr">
        <is>
          <t>生理与分子机制</t>
        </is>
      </c>
      <c r="F520" s="2" t="inlineStr">
        <is>
          <t>栽培管理</t>
        </is>
      </c>
      <c r="G520" s="2" t="inlineStr">
        <is>
          <t>光合季节双峰与增产关键期</t>
        </is>
      </c>
      <c r="H520" s="2" t="inlineStr">
        <is>
          <t>净光合速率年变化为双峰曲线，第一峰出现在开花期前后（5月16日日均517 mg·dm⁻²·h⁻¹），第二峰在果实速生期（8月18日日均5.98）；春季及时促进叶片早形成、延长春季光合时间，秋季增加养分供应并保护好叶片，是利用光合潜力提高板栗产量的主要技术措施</t>
        </is>
      </c>
    </row>
    <row r="521">
      <c r="A521" s="2" t="n">
        <v>520</v>
      </c>
      <c r="B521" s="2" t="n">
        <v>105</v>
      </c>
      <c r="C521" s="2" t="inlineStr">
        <is>
          <t>密植板栗树光合特性的研究_彭方仁.md</t>
        </is>
      </c>
      <c r="D521" s="2" t="inlineStr">
        <is>
          <t>密植板栗树光合特性的研究</t>
        </is>
      </c>
      <c r="E521" s="2" t="inlineStr">
        <is>
          <t>生理与分子机制</t>
        </is>
      </c>
      <c r="F521" s="2" t="inlineStr">
        <is>
          <t>基础研究</t>
        </is>
      </c>
      <c r="G521" s="2" t="inlineStr">
        <is>
          <t>板栗光合速率偏低与产量</t>
        </is>
      </c>
      <c r="H521" s="2" t="inlineStr">
        <is>
          <t>密植板栗净光合速率一般为4~10 mg·dm⁻²·h⁻¹，明显低于苹果（10~30 mg·dm⁻²·h⁻¹）和西洋梨（10~23 mg·dm⁻²·h⁻¹），这可能是板栗经济产量较低的原因之一；光合有效辐射是影响净光合速率的最显著环境因子（相关系数0.7624），气温和空气相对湿度也有影响</t>
        </is>
      </c>
    </row>
    <row r="522">
      <c r="A522" s="2" t="n">
        <v>521</v>
      </c>
      <c r="B522" s="2" t="n">
        <v>105</v>
      </c>
      <c r="C522" s="2" t="inlineStr">
        <is>
          <t>密植板栗树光合特性的研究_彭方仁.md</t>
        </is>
      </c>
      <c r="D522" s="2" t="inlineStr">
        <is>
          <t>密植板栗树光合特性的研究</t>
        </is>
      </c>
      <c r="E522" s="2" t="inlineStr">
        <is>
          <t>生理与分子机制</t>
        </is>
      </c>
      <c r="F522" s="2" t="inlineStr">
        <is>
          <t>栽培管理</t>
        </is>
      </c>
      <c r="G522" s="2" t="inlineStr">
        <is>
          <t>密植园内膛光照不足问题</t>
        </is>
      </c>
      <c r="H522" s="2" t="inlineStr">
        <is>
          <t>在2m×3m密植园中，树冠外围叶片每天接受超过光饱和点（800~900 μmol·s⁻¹·m⁻²）强光的时间约4~6 h，但树冠中部和内膛一天大部分时间PAR不足光饱和点的一半，内膛光照不足限制光合生产，需通过整形修剪、开心透光或适当控制密度改善冠内光照</t>
        </is>
      </c>
    </row>
    <row r="523">
      <c r="A523" s="2" t="n">
        <v>522</v>
      </c>
      <c r="B523" s="2" t="n">
        <v>106</v>
      </c>
      <c r="C523" s="2" t="inlineStr">
        <is>
          <t>我国板栗产业发展现状及策略_易善军.md</t>
        </is>
      </c>
      <c r="D523" s="2" t="inlineStr">
        <is>
          <t>我国板栗产业发展现状及策略</t>
        </is>
      </c>
      <c r="E523" s="2" t="inlineStr">
        <is>
          <t>产业发展与经济</t>
        </is>
      </c>
      <c r="F523" s="2" t="inlineStr">
        <is>
          <t>产业市场</t>
        </is>
      </c>
      <c r="G523" s="2" t="inlineStr">
        <is>
          <t>中国板栗产业规模与地位</t>
        </is>
      </c>
      <c r="H523" s="2" t="inlineStr">
        <is>
          <t>中国是世界板栗第一生产大国，2015年总产量2.34×10^6 t约占世界80%，收获面积2.97×10^5 hm2约占世界56%；2005-2015年总产量由1.03×10^6 t增至2.34×10^6 t，年均增长率8.54%。</t>
        </is>
      </c>
    </row>
    <row r="524">
      <c r="A524" s="2" t="n">
        <v>523</v>
      </c>
      <c r="B524" s="2" t="n">
        <v>106</v>
      </c>
      <c r="C524" s="2" t="inlineStr">
        <is>
          <t>我国板栗产业发展现状及策略_易善军.md</t>
        </is>
      </c>
      <c r="D524" s="2" t="inlineStr">
        <is>
          <t>我国板栗产业发展现状及策略</t>
        </is>
      </c>
      <c r="E524" s="2" t="inlineStr">
        <is>
          <t>产业发展与经济</t>
        </is>
      </c>
      <c r="F524" s="2" t="inlineStr">
        <is>
          <t>产业市场</t>
        </is>
      </c>
      <c r="G524" s="2" t="inlineStr">
        <is>
          <t>板栗主产区分布</t>
        </is>
      </c>
      <c r="H524" s="2" t="inlineStr">
        <is>
          <t>2015年产量2×10^5 t以上的省份为湖北（4.12×10^5 t）、河北（3.28×10^5 t）、山东（3.13×10^5 t）、云南（2.0×10^5 t），前10个主产省产量占全国83.29%；贵州是产量增速最快省份（年均增长16.79%）。</t>
        </is>
      </c>
    </row>
    <row r="525">
      <c r="A525" s="2" t="n">
        <v>524</v>
      </c>
      <c r="B525" s="2" t="n">
        <v>106</v>
      </c>
      <c r="C525" s="2" t="inlineStr">
        <is>
          <t>我国板栗产业发展现状及策略_易善军.md</t>
        </is>
      </c>
      <c r="D525" s="2" t="inlineStr">
        <is>
          <t>我国板栗产业发展现状及策略</t>
        </is>
      </c>
      <c r="E525" s="2" t="inlineStr">
        <is>
          <t>产业发展与经济</t>
        </is>
      </c>
      <c r="F525" s="2" t="inlineStr">
        <is>
          <t>采收贮藏</t>
        </is>
      </c>
      <c r="G525" s="2" t="inlineStr">
        <is>
          <t>板栗贮藏技术类型</t>
        </is>
      </c>
      <c r="H525" s="2" t="inlineStr">
        <is>
          <t>传统沙藏法、架藏法、土窖藏法、洞藏法保存时间短、不便于管理；常用新式贮藏法包括低温贮藏法、辐射贮藏保鲜法、气调贮藏法、空气离子贮藏法，通过降低温度、抑制呼吸和代谢减少栗果内有机物消耗，防止品质损坏。</t>
        </is>
      </c>
    </row>
    <row r="526">
      <c r="A526" s="2" t="n">
        <v>525</v>
      </c>
      <c r="B526" s="2" t="n">
        <v>106</v>
      </c>
      <c r="C526" s="2" t="inlineStr">
        <is>
          <t>我国板栗产业发展现状及策略_易善军.md</t>
        </is>
      </c>
      <c r="D526" s="2" t="inlineStr">
        <is>
          <t>我国板栗产业发展现状及策略</t>
        </is>
      </c>
      <c r="E526" s="2" t="inlineStr">
        <is>
          <t>产业发展与经济</t>
        </is>
      </c>
      <c r="F526" s="2" t="inlineStr">
        <is>
          <t>加工利用</t>
        </is>
      </c>
      <c r="G526" s="2" t="inlineStr">
        <is>
          <t>板栗加工水平差距</t>
        </is>
      </c>
      <c r="H526" s="2" t="inlineStr">
        <is>
          <t>截至2014年底全国规模以上板栗加工企业410家，年加工量约3.01×10^5 t、加工产值约4.62×10^9元；已开发板栗罐头、速冻板栗仁、板栗脯、板栗粉、板栗酱、板栗饮料、板栗酒等产品；韩国、意大利等国剥壳去衣机脱皮率达92%-96%，我国大多以人工剥壳为主，机械化程度低、深加工产品少。</t>
        </is>
      </c>
    </row>
    <row r="527">
      <c r="A527" s="2" t="n">
        <v>526</v>
      </c>
      <c r="B527" s="2" t="n">
        <v>106</v>
      </c>
      <c r="C527" s="2" t="inlineStr">
        <is>
          <t>我国板栗产业发展现状及策略_易善军.md</t>
        </is>
      </c>
      <c r="D527" s="2" t="inlineStr">
        <is>
          <t>我国板栗产业发展现状及策略</t>
        </is>
      </c>
      <c r="E527" s="2" t="inlineStr">
        <is>
          <t>产业发展与经济</t>
        </is>
      </c>
      <c r="F527" s="2" t="inlineStr">
        <is>
          <t>产业市场</t>
        </is>
      </c>
      <c r="G527" s="2" t="inlineStr">
        <is>
          <t>板栗品牌与进出口格局</t>
        </is>
      </c>
      <c r="H527" s="2" t="inlineStr">
        <is>
          <t>中国板栗出口量仅占总产量1.83%，2013年出口3.91×10^4 t为世界第一，出口伙伴39国（日本5732 t、泰国5253 t居前）；同时是第二大进口国（1.18×10^4 t），2010年后韩国取代日本成最大进口来源国（占88.19%）；国内品牌仅迁西板栗、泰山板栗、紫玉等少数，天津甘栗商标已被日本企业注册，品牌保护不力。</t>
        </is>
      </c>
    </row>
    <row r="528">
      <c r="A528" s="2" t="n">
        <v>527</v>
      </c>
      <c r="B528" s="2" t="n">
        <v>107</v>
      </c>
      <c r="C528" s="2" t="inlineStr">
        <is>
          <t>板栗叶片营养与土壤养分的动态变化及回归分析_李广会.md</t>
        </is>
      </c>
      <c r="D528" s="2" t="inlineStr">
        <is>
          <t>板栗叶片营养与土壤养分的动态变化及回归分析</t>
        </is>
      </c>
      <c r="E528" s="2" t="inlineStr">
        <is>
          <t>栽培与土壤管理</t>
        </is>
      </c>
      <c r="F528" s="2" t="inlineStr">
        <is>
          <t>土壤肥料</t>
        </is>
      </c>
      <c r="G528" s="2" t="inlineStr">
        <is>
          <t>板栗叶片营养诊断期与适宜含量标准</t>
        </is>
      </c>
      <c r="H528" s="2" t="inlineStr">
        <is>
          <t>板栗营养诊断宜在7月中旬至8月中旬（幼果期至膨大初期）进行；叶片主要矿质元素适宜含量：N 2.103%、P 0.131%、K 0.723%、Ca 2.240%、Mg 0.709%，Mn 859.768 mg/kg、Fe 615.199 mg/kg、B 46.223 mg/kg、Cu 13.171 mg/kg（迁西燕山早丰3113）。</t>
        </is>
      </c>
    </row>
    <row r="529">
      <c r="A529" s="2" t="n">
        <v>528</v>
      </c>
      <c r="B529" s="2" t="n">
        <v>107</v>
      </c>
      <c r="C529" s="2" t="inlineStr">
        <is>
          <t>板栗叶片营养与土壤养分的动态变化及回归分析_李广会.md</t>
        </is>
      </c>
      <c r="D529" s="2" t="inlineStr">
        <is>
          <t>板栗叶片营养与土壤养分的动态变化及回归分析</t>
        </is>
      </c>
      <c r="E529" s="2" t="inlineStr">
        <is>
          <t>栽培与土壤管理</t>
        </is>
      </c>
      <c r="F529" s="2" t="inlineStr">
        <is>
          <t>土壤肥料</t>
        </is>
      </c>
      <c r="G529" s="2" t="inlineStr">
        <is>
          <t>板栗各物候期需肥规律</t>
        </is>
      </c>
      <c r="H529" s="2" t="inlineStr">
        <is>
          <t>开花授粉期对N、P、K、Ca、B需求量大，果实膨大期对N、P、K、Ca需求量大；坐果期仍需大量N、P但对K需求少，幼果期相反；果实发育期对Fe、Mn吸收持续增加，对Cu、Mg需求变化小；开花授粉期和膨大期是土壤速效N、P、K下降最快的两个阶段。</t>
        </is>
      </c>
    </row>
    <row r="530">
      <c r="A530" s="2" t="n">
        <v>529</v>
      </c>
      <c r="B530" s="2" t="n">
        <v>107</v>
      </c>
      <c r="C530" s="2" t="inlineStr">
        <is>
          <t>板栗叶片营养与土壤养分的动态变化及回归分析_李广会.md</t>
        </is>
      </c>
      <c r="D530" s="2" t="inlineStr">
        <is>
          <t>板栗叶片营养与土壤养分的动态变化及回归分析</t>
        </is>
      </c>
      <c r="E530" s="2" t="inlineStr">
        <is>
          <t>栽培与土壤管理</t>
        </is>
      </c>
      <c r="F530" s="2" t="inlineStr">
        <is>
          <t>土壤肥料</t>
        </is>
      </c>
      <c r="G530" s="2" t="inlineStr">
        <is>
          <t>土壤速效铁对板栗的重要性</t>
        </is>
      </c>
      <c r="H530" s="2" t="inlineStr">
        <is>
          <t>逐步回归显示板栗叶片N、P、K含量与土壤速效Fe含量呈正相关（叶片N：R2=0.812，Sig.=0.037；叶片K：R2=0.876，Sig.=0.019，均显著），速效Fe是影响迁西板栗生产的重要因子；铁通过增强叶片光合作用促进N、P、K吸收；迁西板栗品质居全国首位被认为与土壤富含Fe有关。</t>
        </is>
      </c>
    </row>
    <row r="531">
      <c r="A531" s="2" t="n">
        <v>530</v>
      </c>
      <c r="B531" s="2" t="n">
        <v>107</v>
      </c>
      <c r="C531" s="2" t="inlineStr">
        <is>
          <t>板栗叶片营养与土壤养分的动态变化及回归分析_李广会.md</t>
        </is>
      </c>
      <c r="D531" s="2" t="inlineStr">
        <is>
          <t>板栗叶片营养与土壤养分的动态变化及回归分析</t>
        </is>
      </c>
      <c r="E531" s="2" t="inlineStr">
        <is>
          <t>栽培与土壤管理</t>
        </is>
      </c>
      <c r="F531" s="2" t="inlineStr">
        <is>
          <t>栽培管理</t>
        </is>
      </c>
      <c r="G531" s="2" t="inlineStr">
        <is>
          <t>硼与板栗空苞的关系</t>
        </is>
      </c>
      <c r="H531" s="2" t="inlineStr">
        <is>
          <t>硼参与花粉萌发和花粉管生长，板栗花粉萌发需硼浓度比其他果树高，树体或土壤缺硼将导致授粉受精不良、出现空苞；开花授粉期叶片硼含量急剧下降（被花器官大量消耗），生产上喷施硼肥可降低板栗空苞率。</t>
        </is>
      </c>
    </row>
    <row r="532">
      <c r="A532" s="2" t="n">
        <v>531</v>
      </c>
      <c r="B532" s="2" t="n">
        <v>107</v>
      </c>
      <c r="C532" s="2" t="inlineStr">
        <is>
          <t>板栗叶片营养与土壤养分的动态变化及回归分析_李广会.md</t>
        </is>
      </c>
      <c r="D532" s="2" t="inlineStr">
        <is>
          <t>板栗叶片营养与土壤养分的动态变化及回归分析</t>
        </is>
      </c>
      <c r="E532" s="2" t="inlineStr">
        <is>
          <t>栽培与土壤管理</t>
        </is>
      </c>
      <c r="F532" s="2" t="inlineStr">
        <is>
          <t>土壤肥料</t>
        </is>
      </c>
      <c r="G532" s="2" t="inlineStr">
        <is>
          <t>按物候期平衡施肥建议</t>
        </is>
      </c>
      <c r="H532" s="2" t="inlineStr">
        <is>
          <t>开花授粉期适当加大N、P追肥量，既满足授粉期和坐果期需求又可减少追肥次数、有效减少生理落果；膨大期正值高温少雨季节，保证钙营养可增加光合产物向果实供应；果实发育后期应补充Fe、Mn延长叶片光合时间；同时避免肥料间相互作用导致Mn、Fe等有效性降低。</t>
        </is>
      </c>
    </row>
    <row r="533">
      <c r="A533" s="2" t="n">
        <v>532</v>
      </c>
      <c r="B533" s="2" t="n">
        <v>108</v>
      </c>
      <c r="C533" s="2" t="inlineStr">
        <is>
          <t>板栗淀粉糊化特性与淀粉粒粒径及直链淀粉含量的关系_梁丽松.md</t>
        </is>
      </c>
      <c r="D533" s="2" t="inlineStr">
        <is>
          <t>板栗淀粉糊化特性与淀粉粒粒径及直链淀粉含量的关系</t>
        </is>
      </c>
      <c r="E533" s="2" t="inlineStr">
        <is>
          <t>果实品质与营养</t>
        </is>
      </c>
      <c r="F533" s="2" t="inlineStr">
        <is>
          <t>加工利用</t>
        </is>
      </c>
      <c r="G533" s="2" t="inlineStr">
        <is>
          <t>板栗糯性品质的量化评价指标</t>
        </is>
      </c>
      <c r="H533" s="2" t="inlineStr">
        <is>
          <t>直链淀粉含量和糊化峰值黏度可作为衡量板栗糯性品质的指标：直链淀粉含量越高，峰值黏度、谷值黏度、最终黏度、稀懈值越低，而回冷值、糊化温度越高、峰值时间越长；峰值黏度、稀懈值、回冷值与直链淀粉含量相关最高（稀懈值相关系数-0.85至-0.91）。</t>
        </is>
      </c>
    </row>
    <row r="534">
      <c r="A534" s="2" t="n">
        <v>533</v>
      </c>
      <c r="B534" s="2" t="n">
        <v>108</v>
      </c>
      <c r="C534" s="2" t="inlineStr">
        <is>
          <t>板栗淀粉糊化特性与淀粉粒粒径及直链淀粉含量的关系_梁丽松.md</t>
        </is>
      </c>
      <c r="D534" s="2" t="inlineStr">
        <is>
          <t>板栗淀粉糊化特性与淀粉粒粒径及直链淀粉含量的关系</t>
        </is>
      </c>
      <c r="E534" s="2" t="inlineStr">
        <is>
          <t>果实品质与营养</t>
        </is>
      </c>
      <c r="F534" s="2" t="inlineStr">
        <is>
          <t>品种选择</t>
        </is>
      </c>
      <c r="G534" s="2" t="inlineStr">
        <is>
          <t>品种群淀粉特性差异</t>
        </is>
      </c>
      <c r="H534" s="2" t="inlineStr">
        <is>
          <t>北方品种群（燕红、燕山魁栗、燕山早丰等）普遍低直链淀粉（平均26.49%）、高峰值黏度（4437.71 cp）、糊化温度最低（69.20℃）、淀粉粒粒径最小（11.08 µm），糯性好；南方品种群（九家种、青扎等）多高直链淀粉（28.40%）、低峰值黏度；中间类型品种群变异最大，兼有两类特点。</t>
        </is>
      </c>
    </row>
    <row r="535">
      <c r="A535" s="2" t="n">
        <v>534</v>
      </c>
      <c r="B535" s="2" t="n">
        <v>108</v>
      </c>
      <c r="C535" s="2" t="inlineStr">
        <is>
          <t>板栗淀粉糊化特性与淀粉粒粒径及直链淀粉含量的关系_梁丽松.md</t>
        </is>
      </c>
      <c r="D535" s="2" t="inlineStr">
        <is>
          <t>板栗淀粉糊化特性与淀粉粒粒径及直链淀粉含量的关系</t>
        </is>
      </c>
      <c r="E535" s="2" t="inlineStr">
        <is>
          <t>果实品质与营养</t>
        </is>
      </c>
      <c r="F535" s="2" t="inlineStr">
        <is>
          <t>加工利用</t>
        </is>
      </c>
      <c r="G535" s="2" t="inlineStr">
        <is>
          <t>板栗淀粉含量与粒径范围</t>
        </is>
      </c>
      <c r="H535" s="2" t="inlineStr">
        <is>
          <t>33个主栽品种总淀粉含量（占干重）51.62%-86.65%，直链淀粉含量（占总淀粉）17.21%-30.16%；淀粉粒粒径范围2-40 µm，主要分布在5-20 µm；确山大油栗总淀粉最高（86.65%），二新早直链淀粉最高（32.78%），泰栗1号（17.21%）和确山毛栗（17.81%）直链淀粉最低且峰值黏度显著最高。</t>
        </is>
      </c>
    </row>
    <row r="536">
      <c r="A536" s="2" t="n">
        <v>535</v>
      </c>
      <c r="B536" s="2" t="n">
        <v>108</v>
      </c>
      <c r="C536" s="2" t="inlineStr">
        <is>
          <t>板栗淀粉糊化特性与淀粉粒粒径及直链淀粉含量的关系_梁丽松.md</t>
        </is>
      </c>
      <c r="D536" s="2" t="inlineStr">
        <is>
          <t>板栗淀粉糊化特性与淀粉粒粒径及直链淀粉含量的关系</t>
        </is>
      </c>
      <c r="E536" s="2" t="inlineStr">
        <is>
          <t>果实品质与营养</t>
        </is>
      </c>
      <c r="F536" s="2" t="inlineStr">
        <is>
          <t>基础研究</t>
        </is>
      </c>
      <c r="G536" s="2" t="inlineStr">
        <is>
          <t>淀粉特性的地域分布规律</t>
        </is>
      </c>
      <c r="H536" s="2" t="inlineStr">
        <is>
          <t>板栗淀粉糊化特性、直链淀粉含量和淀粉粒粒径均与品种联系密切并具有较明显的地域分布特征；峰值黏度与淀粉粒平均粒径显著相关（大颗粒结构疏松、易糊化），糯性大小与淀粉糊化特性密切相关，可用于不同产区板栗的品质区划。</t>
        </is>
      </c>
    </row>
    <row r="537">
      <c r="A537" s="2" t="n">
        <v>536</v>
      </c>
      <c r="B537" s="2" t="n">
        <v>109</v>
      </c>
      <c r="C537" s="2" t="inlineStr">
        <is>
          <t>磷对板栗结实性能及产量的影响_黄宏文.md</t>
        </is>
      </c>
      <c r="D537" s="2" t="inlineStr">
        <is>
          <t>磷对板栗结实性能及产量的影响</t>
        </is>
      </c>
      <c r="E537" s="2" t="inlineStr">
        <is>
          <t>栽培与土壤管理</t>
        </is>
      </c>
      <c r="F537" s="2" t="inlineStr">
        <is>
          <t>栽培管理</t>
        </is>
      </c>
      <c r="G537" s="2" t="inlineStr">
        <is>
          <t>磷是板栗雌花形成的关键养分</t>
        </is>
      </c>
      <c r="H537" s="2" t="inlineStr">
        <is>
          <t>磷对板栗雌花形成有重要影响：结果母枝含磷量与母枝抽生结果枝数和着生雌花数呈显著正相关；结果母枝含磷量高于雄花母枝和营养枝（雄花母枝与营养枝几乎相等），雌花含磷量高于雄花；板栗雄花多、雌花少的内在原因与雌花分化需要高量磷有关。</t>
        </is>
      </c>
    </row>
    <row r="538">
      <c r="A538" s="2" t="n">
        <v>537</v>
      </c>
      <c r="B538" s="2" t="n">
        <v>109</v>
      </c>
      <c r="C538" s="2" t="inlineStr">
        <is>
          <t>磷对板栗结实性能及产量的影响_黄宏文.md</t>
        </is>
      </c>
      <c r="D538" s="2" t="inlineStr">
        <is>
          <t>磷对板栗结实性能及产量的影响</t>
        </is>
      </c>
      <c r="E538" s="2" t="inlineStr">
        <is>
          <t>栽培与土壤管理</t>
        </is>
      </c>
      <c r="F538" s="2" t="inlineStr">
        <is>
          <t>土壤肥料</t>
        </is>
      </c>
      <c r="G538" s="2" t="inlineStr">
        <is>
          <t>土壤缺磷是板栗低产的重要原因</t>
        </is>
      </c>
      <c r="H538" s="2" t="inlineStr">
        <is>
          <t>鄂东大别山区花岗岩、片麻岩风化砂质土壤长石含量多、钾源丰富但严重缺磷，是当地板栗雌花少、产量低的主要原因；丰产树土壤速效磷含量比低产树高近一倍（差异极显著），而全氮、碱解氮差异微小；板栗树体氮素水平与雌花数量无关，增施氮肥仅促进枝梢加长生长。</t>
        </is>
      </c>
    </row>
    <row r="539">
      <c r="A539" s="2" t="n">
        <v>538</v>
      </c>
      <c r="B539" s="2" t="n">
        <v>109</v>
      </c>
      <c r="C539" s="2" t="inlineStr">
        <is>
          <t>磷对板栗结实性能及产量的影响_黄宏文.md</t>
        </is>
      </c>
      <c r="D539" s="2" t="inlineStr">
        <is>
          <t>磷对板栗结实性能及产量的影响</t>
        </is>
      </c>
      <c r="E539" s="2" t="inlineStr">
        <is>
          <t>栽培与土壤管理</t>
        </is>
      </c>
      <c r="F539" s="2" t="inlineStr">
        <is>
          <t>土壤肥料</t>
        </is>
      </c>
      <c r="G539" s="2" t="inlineStr">
        <is>
          <t>施磷配合修剪的增产效果</t>
        </is>
      </c>
      <c r="H539" s="2" t="inlineStr">
        <is>
          <t>增施磷肥可显著提高土壤速效磷和树体磷素水平，增加雌花分化、结果枝数和结苞数；以增施磷肥开源、合理修剪（冬季除去雄花母枝、纤细枝、过密枝）节流的处理比对照增产一倍以上，效果最佳；过磷酸钙应混入有机质渣肥防止被土壤固定，于根系吸磷高峰期在树冠外围环状沟施；大面积示范证明施磷增产效益一致。</t>
        </is>
      </c>
    </row>
    <row r="540">
      <c r="A540" s="2" t="n">
        <v>539</v>
      </c>
      <c r="B540" s="2" t="n">
        <v>109</v>
      </c>
      <c r="C540" s="2" t="inlineStr">
        <is>
          <t>磷对板栗结实性能及产量的影响_黄宏文.md</t>
        </is>
      </c>
      <c r="D540" s="2" t="inlineStr">
        <is>
          <t>磷对板栗结实性能及产量的影响</t>
        </is>
      </c>
      <c r="E540" s="2" t="inlineStr">
        <is>
          <t>栽培与土壤管理</t>
        </is>
      </c>
      <c r="F540" s="2" t="inlineStr">
        <is>
          <t>基础研究</t>
        </is>
      </c>
      <c r="G540" s="2" t="inlineStr">
        <is>
          <t>磷改变结果枝构成的作用机理</t>
        </is>
      </c>
      <c r="H540" s="2" t="inlineStr">
        <is>
          <t>连续两年施磷后，在结果枝结实数相同情况下施磷处理的结果枝直径比对照小，说明施磷使原来不能分化雌花的细枝也分化雌花转化为结果枝，并使原来结苞少的结果枝多结栗苞；雌花中精氨酸、组氨酸、赖氨酸（对细胞分裂起重要作用）含量比雄花高，且与磷含量变化平行，为磷促花机制提供了物质基础。</t>
        </is>
      </c>
    </row>
    <row r="541">
      <c r="A541" s="2" t="n">
        <v>540</v>
      </c>
      <c r="B541" s="2" t="n">
        <v>110</v>
      </c>
      <c r="C541" s="2" t="inlineStr">
        <is>
          <t>种植绿肥对板栗林土壤养分和生物学性质的影响_姜培坤.md</t>
        </is>
      </c>
      <c r="D541" s="2" t="inlineStr">
        <is>
          <t>种植绿肥对板栗林土壤养分和生物学性质的影响</t>
        </is>
      </c>
      <c r="E541" s="2" t="inlineStr">
        <is>
          <t>栽培与土壤管理</t>
        </is>
      </c>
      <c r="F541" s="2" t="inlineStr">
        <is>
          <t>土壤肥料</t>
        </is>
      </c>
      <c r="G541" s="2" t="inlineStr">
        <is>
          <t>绿肥提升板栗林土壤氮与有机质</t>
        </is>
      </c>
      <c r="H541" s="2" t="inlineStr">
        <is>
          <t>板栗林播种绿肥当年土壤全氮和有机质含量均显著高于对照（P&lt;0.05）；大绿豆效果最好，土壤全氮0.981 g/kg、有机质27.95 g/kg，对照仅0.787 g/kg和21.99 g/kg；大绿豆属豆科植物具有生物固氮作用，且生物量大、易分解，是提高板栗林土壤氮和有机质的好方法。</t>
        </is>
      </c>
    </row>
    <row r="542">
      <c r="A542" s="2" t="n">
        <v>541</v>
      </c>
      <c r="B542" s="2" t="n">
        <v>110</v>
      </c>
      <c r="C542" s="2" t="inlineStr">
        <is>
          <t>种植绿肥对板栗林土壤养分和生物学性质的影响_姜培坤.md</t>
        </is>
      </c>
      <c r="D542" s="2" t="inlineStr">
        <is>
          <t>种植绿肥对板栗林土壤养分和生物学性质的影响</t>
        </is>
      </c>
      <c r="E542" s="2" t="inlineStr">
        <is>
          <t>栽培与土壤管理</t>
        </is>
      </c>
      <c r="F542" s="2" t="inlineStr">
        <is>
          <t>土壤肥料</t>
        </is>
      </c>
      <c r="G542" s="2" t="inlineStr">
        <is>
          <t>板栗林绿肥品种选择与播种量</t>
        </is>
      </c>
      <c r="H542" s="2" t="inlineStr">
        <is>
          <t>试验播种量为黑麦草27 kg/hm2、白三叶13.5 kg/hm2、大绿豆31.5 kg/hm2、三者混播（9/4.5/10.5 kg/hm2）；综合比较大绿豆对提高土壤全氮、有机质和酶活性效果最好；结合浙江红壤和气候特点，建议板栗林选用大绿豆、印尼豇豆、乌豇豆、南苜蓿、紫苜蓿、天蓝苜蓿等绿肥品种。</t>
        </is>
      </c>
    </row>
    <row r="543">
      <c r="A543" s="2" t="n">
        <v>542</v>
      </c>
      <c r="B543" s="2" t="n">
        <v>110</v>
      </c>
      <c r="C543" s="2" t="inlineStr">
        <is>
          <t>种植绿肥对板栗林土壤养分和生物学性质的影响_姜培坤.md</t>
        </is>
      </c>
      <c r="D543" s="2" t="inlineStr">
        <is>
          <t>种植绿肥对板栗林土壤养分和生物学性质的影响</t>
        </is>
      </c>
      <c r="E543" s="2" t="inlineStr">
        <is>
          <t>栽培与土壤管理</t>
        </is>
      </c>
      <c r="F543" s="2" t="inlineStr">
        <is>
          <t>土壤肥料</t>
        </is>
      </c>
      <c r="G543" s="2" t="inlineStr">
        <is>
          <t>绿肥对速效养分当年无显著影响</t>
        </is>
      </c>
      <c r="H543" s="2" t="inlineStr">
        <is>
          <t>播种绿肥当年对土壤水解氮、有效磷和速效钾含量无显著影响；白三叶处理水解氮（143.01 mg/kg）、有效磷（12.35 mg/kg）、速效钾（129.74 mg/kg）数值均最高但与对照（110.79、7.36、111.66 mg/kg）差异不显著，说明绿肥改土培肥需多年持续才能显著提高速效养分。</t>
        </is>
      </c>
    </row>
    <row r="544">
      <c r="A544" s="2" t="n">
        <v>543</v>
      </c>
      <c r="B544" s="2" t="n">
        <v>110</v>
      </c>
      <c r="C544" s="2" t="inlineStr">
        <is>
          <t>种植绿肥对板栗林土壤养分和生物学性质的影响_姜培坤.md</t>
        </is>
      </c>
      <c r="D544" s="2" t="inlineStr">
        <is>
          <t>种植绿肥对板栗林土壤养分和生物学性质的影响</t>
        </is>
      </c>
      <c r="E544" s="2" t="inlineStr">
        <is>
          <t>栽培与土壤管理</t>
        </is>
      </c>
      <c r="F544" s="2" t="inlineStr">
        <is>
          <t>土壤肥料</t>
        </is>
      </c>
      <c r="G544" s="2" t="inlineStr">
        <is>
          <t>绿肥激活土壤生物活性</t>
        </is>
      </c>
      <c r="H544" s="2" t="inlineStr">
        <is>
          <t>播种绿肥显著增强土壤磷酸酶、蔗糖酶、过氧化氢酶活性（大绿豆处理磷酸酶2.767、蔗糖酶5.38、过氧化氢酶0.463，对照仅1.350、3.03、0.210）；水溶性有机碳由对照20.14 mg/kg提高到40.67 mg/kg（大绿豆），微生物量碳由183.36 mg/kg提高到约300 mg/kg，绿肥通过根系分泌有机物和压埋提供碳源激发微生物活动。</t>
        </is>
      </c>
    </row>
    <row r="545">
      <c r="A545" s="2" t="n">
        <v>544</v>
      </c>
      <c r="B545" s="2" t="n">
        <v>110</v>
      </c>
      <c r="C545" s="2" t="inlineStr">
        <is>
          <t>种植绿肥对板栗林土壤养分和生物学性质的影响_姜培坤.md</t>
        </is>
      </c>
      <c r="D545" s="2" t="inlineStr">
        <is>
          <t>种植绿肥对板栗林土壤养分和生物学性质的影响</t>
        </is>
      </c>
      <c r="E545" s="2" t="inlineStr">
        <is>
          <t>栽培与土壤管理</t>
        </is>
      </c>
      <c r="F545" s="2" t="inlineStr">
        <is>
          <t>土壤肥料</t>
        </is>
      </c>
      <c r="G545" s="2" t="inlineStr">
        <is>
          <t>集约经营导致板栗林土壤退化</t>
        </is>
      </c>
      <c r="H545" s="2" t="inlineStr">
        <is>
          <t>板栗林近年前施用化肥、连年清理林下杂草及枯落物、施用除草剂除草等集约化栽培，造成土壤微生物量碳、氮严重下降、生物学性质总体减退（浙江省板栗林面积已达7.80×10^4 hm2，占全省经济林面积9.0%）；绿肥是完全型肥料，可增加土壤碱解氮、速效磷、速效钾，降低容重、增加孔隙度和水稳性结构体，阻止土壤侵蚀。</t>
        </is>
      </c>
    </row>
  </sheetData>
  <autoFilter ref="A1:H5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4" customWidth="1" min="1" max="1"/>
    <col width="12" customWidth="1" min="2" max="2"/>
    <col width="12" customWidth="1" min="3" max="3"/>
    <col width="40" customWidth="1" min="4" max="4"/>
  </cols>
  <sheetData>
    <row r="1">
      <c r="A1" s="6" t="inlineStr">
        <is>
          <t>板栗论文知识库 · 分类统计</t>
        </is>
      </c>
    </row>
    <row r="3">
      <c r="A3" s="7" t="inlineStr">
        <is>
          <t>一、总览</t>
        </is>
      </c>
    </row>
    <row r="4">
      <c r="A4" s="8" t="inlineStr">
        <is>
          <t>指标</t>
        </is>
      </c>
      <c r="B4" s="8" t="inlineStr">
        <is>
          <t>数值</t>
        </is>
      </c>
    </row>
    <row r="5">
      <c r="A5" s="2" t="inlineStr">
        <is>
          <t>论文总数</t>
        </is>
      </c>
      <c r="B5" s="2">
        <f>COUNTA(论文总表!A2:A111)</f>
        <v/>
      </c>
    </row>
    <row r="6">
      <c r="A6" s="2" t="inlineStr">
        <is>
          <t>知识条目总数</t>
        </is>
      </c>
      <c r="B6" s="2">
        <f>COUNTA(知识条目!A2:A600)</f>
        <v/>
      </c>
    </row>
    <row r="7">
      <c r="A7" s="2" t="inlineStr">
        <is>
          <t>高相关论文数</t>
        </is>
      </c>
      <c r="B7" s="2">
        <f>COUNTIF(论文总表!Q2:Q111,"高")</f>
        <v/>
      </c>
    </row>
    <row r="8">
      <c r="A8" s="2" t="inlineStr">
        <is>
          <t>中相关论文数</t>
        </is>
      </c>
      <c r="B8" s="2">
        <f>COUNTIF(论文总表!Q2:Q111,"中")</f>
        <v/>
      </c>
    </row>
    <row r="9">
      <c r="A9" s="2" t="inlineStr">
        <is>
          <t>低相关论文数</t>
        </is>
      </c>
      <c r="B9" s="2">
        <f>COUNTIF(论文总表!Q2:Q111,"低")</f>
        <v/>
      </c>
    </row>
    <row r="10">
      <c r="A10" s="2" t="inlineStr">
        <is>
          <t>英文论文数</t>
        </is>
      </c>
      <c r="B10" s="2">
        <f>COUNTIF(论文总表!D2:D111,"英文")</f>
        <v/>
      </c>
    </row>
    <row r="11">
      <c r="A11" s="2" t="inlineStr">
        <is>
          <t>中文论文数</t>
        </is>
      </c>
      <c r="B11" s="2">
        <f>COUNTIF(论文总表!D2:D111,"中文")</f>
        <v/>
      </c>
    </row>
    <row r="12">
      <c r="A12" s="2" t="inlineStr">
        <is>
          <t>其他语种论文数</t>
        </is>
      </c>
      <c r="B12" s="2">
        <f>COUNTIF(论文总表!D2:D111,"其他")</f>
        <v/>
      </c>
    </row>
    <row r="14">
      <c r="A14" s="7" t="inlineStr">
        <is>
          <t>二、按一级分类</t>
        </is>
      </c>
    </row>
    <row r="15">
      <c r="A15" s="8" t="inlineStr">
        <is>
          <t>分类</t>
        </is>
      </c>
      <c r="B15" s="8" t="inlineStr">
        <is>
          <t>论文数</t>
        </is>
      </c>
      <c r="C15" s="8" t="inlineStr">
        <is>
          <t>占比</t>
        </is>
      </c>
    </row>
    <row r="16">
      <c r="A16" s="2" t="inlineStr">
        <is>
          <t>基因组与基因家族</t>
        </is>
      </c>
      <c r="B16" s="2">
        <f>COUNTIF(论文总表!I2:I111,A16)</f>
        <v/>
      </c>
      <c r="C16" s="9">
        <f>B16/$B$5</f>
        <v/>
      </c>
    </row>
    <row r="17">
      <c r="A17" s="2" t="inlineStr">
        <is>
          <t>生理与分子机制</t>
        </is>
      </c>
      <c r="B17" s="2">
        <f>COUNTIF(论文总表!I2:I111,A17)</f>
        <v/>
      </c>
      <c r="C17" s="9">
        <f>B17/$B$5</f>
        <v/>
      </c>
    </row>
    <row r="18">
      <c r="A18" s="2" t="inlineStr">
        <is>
          <t>病虫害防治</t>
        </is>
      </c>
      <c r="B18" s="2">
        <f>COUNTIF(论文总表!I2:I111,A18)</f>
        <v/>
      </c>
      <c r="C18" s="9">
        <f>B18/$B$5</f>
        <v/>
      </c>
    </row>
    <row r="19">
      <c r="A19" s="2" t="inlineStr">
        <is>
          <t>果实品质与营养</t>
        </is>
      </c>
      <c r="B19" s="2">
        <f>COUNTIF(论文总表!I2:I111,A19)</f>
        <v/>
      </c>
      <c r="C19" s="9">
        <f>B19/$B$5</f>
        <v/>
      </c>
    </row>
    <row r="20">
      <c r="A20" s="2" t="inlineStr">
        <is>
          <t>加工与贮藏</t>
        </is>
      </c>
      <c r="B20" s="2">
        <f>COUNTIF(论文总表!I2:I111,A20)</f>
        <v/>
      </c>
      <c r="C20" s="9">
        <f>B20/$B$5</f>
        <v/>
      </c>
    </row>
    <row r="21">
      <c r="A21" s="2" t="inlineStr">
        <is>
          <t>生物活性与功效</t>
        </is>
      </c>
      <c r="B21" s="2">
        <f>COUNTIF(论文总表!I2:I111,A21)</f>
        <v/>
      </c>
      <c r="C21" s="9">
        <f>B21/$B$5</f>
        <v/>
      </c>
    </row>
    <row r="22">
      <c r="A22" s="2" t="inlineStr">
        <is>
          <t>栽培与土壤管理</t>
        </is>
      </c>
      <c r="B22" s="2">
        <f>COUNTIF(论文总表!I2:I111,A22)</f>
        <v/>
      </c>
      <c r="C22" s="9">
        <f>B22/$B$5</f>
        <v/>
      </c>
    </row>
    <row r="23">
      <c r="A23" s="2" t="inlineStr">
        <is>
          <t>育种与遗传资源</t>
        </is>
      </c>
      <c r="B23" s="2">
        <f>COUNTIF(论文总表!I2:I111,A23)</f>
        <v/>
      </c>
      <c r="C23" s="9">
        <f>B23/$B$5</f>
        <v/>
      </c>
    </row>
    <row r="24">
      <c r="A24" s="2" t="inlineStr">
        <is>
          <t>产业发展与经济</t>
        </is>
      </c>
      <c r="B24" s="2">
        <f>COUNTIF(论文总表!I2:I111,A24)</f>
        <v/>
      </c>
      <c r="C24" s="9">
        <f>B24/$B$5</f>
        <v/>
      </c>
    </row>
    <row r="25">
      <c r="A25" s="2" t="inlineStr">
        <is>
          <t>林产利用与其他</t>
        </is>
      </c>
      <c r="B25" s="2">
        <f>COUNTIF(论文总表!I2:I111,A25)</f>
        <v/>
      </c>
      <c r="C25" s="9">
        <f>B25/$B$5</f>
        <v/>
      </c>
    </row>
    <row r="26">
      <c r="A26" s="2" t="inlineStr">
        <is>
          <t>其他</t>
        </is>
      </c>
      <c r="B26" s="2">
        <f>COUNTIF(论文总表!I2:I111,A26)</f>
        <v/>
      </c>
      <c r="C26" s="9">
        <f>B26/$B$5</f>
        <v/>
      </c>
    </row>
    <row r="27">
      <c r="A27" s="2" t="inlineStr">
        <is>
          <t>合计</t>
        </is>
      </c>
      <c r="B27" s="10">
        <f>SUM(B16:B26)</f>
        <v/>
      </c>
      <c r="C27" s="9">
        <f>B27/$B$5</f>
        <v/>
      </c>
    </row>
    <row r="29">
      <c r="A29" s="7" t="inlineStr">
        <is>
          <t>三、按适用场景（知识条目）</t>
        </is>
      </c>
    </row>
    <row r="30">
      <c r="A30" s="8" t="inlineStr">
        <is>
          <t>场景</t>
        </is>
      </c>
      <c r="B30" s="8" t="inlineStr">
        <is>
          <t>条目数</t>
        </is>
      </c>
      <c r="C30" s="8" t="inlineStr">
        <is>
          <t>占比</t>
        </is>
      </c>
    </row>
    <row r="31">
      <c r="A31" s="2" t="inlineStr">
        <is>
          <t>品种选择</t>
        </is>
      </c>
      <c r="B31" s="2">
        <f>COUNTIF(知识条目!F2:F600,A31)</f>
        <v/>
      </c>
      <c r="C31" s="9">
        <f>B31/$B$6</f>
        <v/>
      </c>
    </row>
    <row r="32">
      <c r="A32" s="2" t="inlineStr">
        <is>
          <t>栽培管理</t>
        </is>
      </c>
      <c r="B32" s="2">
        <f>COUNTIF(知识条目!F2:F600,A32)</f>
        <v/>
      </c>
      <c r="C32" s="9">
        <f>B32/$B$6</f>
        <v/>
      </c>
    </row>
    <row r="33">
      <c r="A33" s="2" t="inlineStr">
        <is>
          <t>土壤肥料</t>
        </is>
      </c>
      <c r="B33" s="2">
        <f>COUNTIF(知识条目!F2:F600,A33)</f>
        <v/>
      </c>
      <c r="C33" s="9">
        <f>B33/$B$6</f>
        <v/>
      </c>
    </row>
    <row r="34">
      <c r="A34" s="2" t="inlineStr">
        <is>
          <t>病虫害防治</t>
        </is>
      </c>
      <c r="B34" s="2">
        <f>COUNTIF(知识条目!F2:F600,A34)</f>
        <v/>
      </c>
      <c r="C34" s="9">
        <f>B34/$B$6</f>
        <v/>
      </c>
    </row>
    <row r="35">
      <c r="A35" s="2" t="inlineStr">
        <is>
          <t>采收贮藏</t>
        </is>
      </c>
      <c r="B35" s="2">
        <f>COUNTIF(知识条目!F2:F600,A35)</f>
        <v/>
      </c>
      <c r="C35" s="9">
        <f>B35/$B$6</f>
        <v/>
      </c>
    </row>
    <row r="36">
      <c r="A36" s="2" t="inlineStr">
        <is>
          <t>加工利用</t>
        </is>
      </c>
      <c r="B36" s="2">
        <f>COUNTIF(知识条目!F2:F600,A36)</f>
        <v/>
      </c>
      <c r="C36" s="9">
        <f>B36/$B$6</f>
        <v/>
      </c>
    </row>
    <row r="37">
      <c r="A37" s="2" t="inlineStr">
        <is>
          <t>营养功效</t>
        </is>
      </c>
      <c r="B37" s="2">
        <f>COUNTIF(知识条目!F2:F600,A37)</f>
        <v/>
      </c>
      <c r="C37" s="9">
        <f>B37/$B$6</f>
        <v/>
      </c>
    </row>
    <row r="38">
      <c r="A38" s="2" t="inlineStr">
        <is>
          <t>繁殖育种</t>
        </is>
      </c>
      <c r="B38" s="2">
        <f>COUNTIF(知识条目!F2:F600,A38)</f>
        <v/>
      </c>
      <c r="C38" s="9">
        <f>B38/$B$6</f>
        <v/>
      </c>
    </row>
    <row r="39">
      <c r="A39" s="2" t="inlineStr">
        <is>
          <t>产业市场</t>
        </is>
      </c>
      <c r="B39" s="2">
        <f>COUNTIF(知识条目!F2:F600,A39)</f>
        <v/>
      </c>
      <c r="C39" s="9">
        <f>B39/$B$6</f>
        <v/>
      </c>
    </row>
    <row r="40">
      <c r="A40" s="2" t="inlineStr">
        <is>
          <t>基础研究</t>
        </is>
      </c>
      <c r="B40" s="2">
        <f>COUNTIF(知识条目!F2:F600,A40)</f>
        <v/>
      </c>
      <c r="C40" s="9">
        <f>B40/$B$6</f>
        <v/>
      </c>
    </row>
    <row r="41">
      <c r="A41" s="2" t="inlineStr">
        <is>
          <t>合计</t>
        </is>
      </c>
      <c r="B41" s="2">
        <f>SUM(B31:B40)</f>
        <v/>
      </c>
      <c r="C41" s="9">
        <f>B41/$B$6</f>
        <v/>
      </c>
    </row>
    <row r="43">
      <c r="A43" s="7" t="inlineStr">
        <is>
          <t>四、按年份</t>
        </is>
      </c>
    </row>
    <row r="44">
      <c r="A44" s="8" t="inlineStr">
        <is>
          <t>年份</t>
        </is>
      </c>
      <c r="B44" s="8" t="inlineStr">
        <is>
          <t>论文数</t>
        </is>
      </c>
    </row>
    <row r="45">
      <c r="A45" s="2" t="inlineStr">
        <is>
          <t>2026</t>
        </is>
      </c>
      <c r="B45" s="2">
        <f>COUNTIF(论文总表!C2:C111,A45)</f>
        <v/>
      </c>
    </row>
    <row r="46">
      <c r="A46" s="2" t="inlineStr">
        <is>
          <t>2025</t>
        </is>
      </c>
      <c r="B46" s="2">
        <f>COUNTIF(论文总表!C2:C111,A46)</f>
        <v/>
      </c>
    </row>
    <row r="47">
      <c r="A47" s="2" t="inlineStr">
        <is>
          <t>2024</t>
        </is>
      </c>
      <c r="B47" s="2">
        <f>COUNTIF(论文总表!C2:C111,A47)</f>
        <v/>
      </c>
    </row>
    <row r="48">
      <c r="A48" s="2" t="inlineStr">
        <is>
          <t>2023</t>
        </is>
      </c>
      <c r="B48" s="2">
        <f>COUNTIF(论文总表!C2:C111,A48)</f>
        <v/>
      </c>
    </row>
    <row r="49">
      <c r="A49" s="2" t="inlineStr">
        <is>
          <t>2022</t>
        </is>
      </c>
      <c r="B49" s="2">
        <f>COUNTIF(论文总表!C2:C111,A49)</f>
        <v/>
      </c>
    </row>
    <row r="50">
      <c r="A50" s="2" t="inlineStr">
        <is>
          <t>2021</t>
        </is>
      </c>
      <c r="B50" s="2">
        <f>COUNTIF(论文总表!C2:C111,A50)</f>
        <v/>
      </c>
    </row>
    <row r="51">
      <c r="A51" s="2" t="inlineStr">
        <is>
          <t>2020</t>
        </is>
      </c>
      <c r="B51" s="2">
        <f>COUNTIF(论文总表!C2:C111,A51)</f>
        <v/>
      </c>
    </row>
    <row r="52">
      <c r="A52" s="2" t="inlineStr">
        <is>
          <t>2019</t>
        </is>
      </c>
      <c r="B52" s="2">
        <f>COUNTIF(论文总表!C2:C111,A52)</f>
        <v/>
      </c>
    </row>
    <row r="53">
      <c r="A53" s="2" t="inlineStr">
        <is>
          <t>2018</t>
        </is>
      </c>
      <c r="B53" s="2">
        <f>COUNTIF(论文总表!C2:C111,A53)</f>
        <v/>
      </c>
    </row>
    <row r="54">
      <c r="A54" s="2" t="inlineStr">
        <is>
          <t>2017</t>
        </is>
      </c>
      <c r="B54" s="2">
        <f>COUNTIF(论文总表!C2:C111,A54)</f>
        <v/>
      </c>
    </row>
    <row r="55">
      <c r="A55" s="2" t="inlineStr">
        <is>
          <t>2017年前</t>
        </is>
      </c>
      <c r="B55" s="2">
        <f>COUNTA(论文总表!A2:A111)-SUM(B45:B54)</f>
        <v/>
      </c>
    </row>
    <row r="56">
      <c r="A56" s="2" t="inlineStr">
        <is>
          <t>合计</t>
        </is>
      </c>
      <c r="B56" s="2">
        <f>SUM(B45:B55)</f>
        <v/>
      </c>
    </row>
    <row r="58">
      <c r="A58" s="7" t="inlineStr">
        <is>
          <t>五、按来源库</t>
        </is>
      </c>
    </row>
    <row r="59">
      <c r="A59" s="8" t="inlineStr">
        <is>
          <t>来源</t>
        </is>
      </c>
      <c r="B59" s="8" t="inlineStr">
        <is>
          <t>论文数</t>
        </is>
      </c>
    </row>
    <row r="60">
      <c r="A60" s="2" t="inlineStr">
        <is>
          <t>板栗论文100篇（英文为主）</t>
        </is>
      </c>
      <c r="B60" s="2">
        <f>COUNTIFS(论文总表!A2:A111,"&lt;=100")</f>
        <v/>
      </c>
    </row>
    <row r="61">
      <c r="A61" s="2" t="inlineStr">
        <is>
          <t>板栗论文10篇（中文）</t>
        </is>
      </c>
      <c r="B61" s="2">
        <f>COUNTIFS(论文总表!A2:A111,"&gt;100")</f>
        <v/>
      </c>
    </row>
    <row r="63">
      <c r="A63" s="11" t="inlineStr">
        <is>
          <t>说明：数据由22个子代理于2026-10-02对110篇markdown论文全文精读后提取；'问答相关度'为面向'栗问'板栗问答助手的知识可用性分级（高=可直接回答种植者/消费者/产业问题）。同一研究多个版本已在'论文总表'备注列标注。</t>
        </is>
      </c>
    </row>
    <row r="64"/>
  </sheetData>
  <mergeCells count="2">
    <mergeCell ref="A1:D1"/>
    <mergeCell ref="A63:D6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2026-10-02T09:16:33Z</dcterms:created>
  <dcterms:modified xmlns:dcterms="http://purl.org/dc/terms/" xmlns:xsi="http://www.w3.org/2001/XMLSchema-instance" xsi:type="dcterms:W3CDTF">2026-10-02T09:16:33Z</dcterms:modified>
</cp:coreProperties>
</file>